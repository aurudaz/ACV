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ssoit.sharepoint.com/sites/CIRAIG-IEE/Documents partages/00_collaborators/01_Projects/04_ProjetsStructurants/H2_projects_common_material/LCA Exercises Energy Systems/LCA Exercice on PEM  HES/"/>
    </mc:Choice>
  </mc:AlternateContent>
  <xr:revisionPtr revIDLastSave="2307" documentId="13_ncr:1_{7DADF055-6197-4DC6-8E8A-706503AB7D33}" xr6:coauthVersionLast="47" xr6:coauthVersionMax="47" xr10:uidLastSave="{548F9AE0-2746-4FA8-B224-DA062060BEB8}"/>
  <bookViews>
    <workbookView xWindow="28680" yWindow="-120" windowWidth="29040" windowHeight="15720" xr2:uid="{31BF431A-3F4E-498D-92CF-002FB7DA7CF7}"/>
  </bookViews>
  <sheets>
    <sheet name="Corre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6" i="1" l="1"/>
  <c r="D316" i="1"/>
  <c r="E316" i="1"/>
  <c r="C316" i="1"/>
  <c r="C307" i="1"/>
  <c r="C308" i="1"/>
  <c r="C309" i="1"/>
  <c r="C310" i="1"/>
  <c r="C311" i="1"/>
  <c r="C312" i="1"/>
  <c r="C313" i="1"/>
  <c r="C314" i="1"/>
  <c r="E307" i="1"/>
  <c r="E308" i="1"/>
  <c r="E309" i="1"/>
  <c r="E310" i="1"/>
  <c r="E311" i="1"/>
  <c r="E312" i="1"/>
  <c r="E313" i="1"/>
  <c r="E306" i="1"/>
  <c r="D307" i="1"/>
  <c r="D308" i="1"/>
  <c r="D309" i="1"/>
  <c r="D310" i="1"/>
  <c r="D311" i="1"/>
  <c r="D312" i="1"/>
  <c r="D313" i="1"/>
  <c r="D306" i="1"/>
  <c r="P292" i="1"/>
  <c r="P290" i="1"/>
  <c r="P289" i="1"/>
  <c r="P288" i="1"/>
  <c r="P287" i="1"/>
  <c r="P286" i="1"/>
  <c r="P285" i="1"/>
  <c r="P284" i="1"/>
  <c r="P291" i="1" s="1"/>
  <c r="P236" i="1"/>
  <c r="P235" i="1"/>
  <c r="P234" i="1"/>
  <c r="P233" i="1"/>
  <c r="P232" i="1"/>
  <c r="P231" i="1"/>
  <c r="P230" i="1"/>
  <c r="P237" i="1" s="1"/>
  <c r="P172" i="1"/>
  <c r="P168" i="1"/>
  <c r="P169" i="1"/>
  <c r="P170" i="1"/>
  <c r="P171" i="1"/>
  <c r="P167" i="1"/>
  <c r="P166" i="1"/>
  <c r="P165" i="1"/>
  <c r="E283" i="1"/>
  <c r="E282" i="1"/>
  <c r="H288" i="1"/>
  <c r="E226" i="1"/>
  <c r="E225" i="1"/>
  <c r="H234" i="1"/>
  <c r="H235" i="1"/>
  <c r="H170" i="1"/>
  <c r="H169" i="1"/>
  <c r="K158" i="1"/>
  <c r="K162" i="1"/>
  <c r="I170" i="1"/>
  <c r="J170" i="1" s="1"/>
  <c r="L170" i="1" s="1"/>
  <c r="H292" i="1"/>
  <c r="E280" i="1"/>
  <c r="H290" i="1" s="1"/>
  <c r="G227" i="1"/>
  <c r="H236" i="1"/>
  <c r="G166" i="1"/>
  <c r="G165" i="1"/>
  <c r="G162" i="1"/>
  <c r="G158" i="1"/>
  <c r="G285" i="1"/>
  <c r="N285" i="1" s="1"/>
  <c r="G284" i="1"/>
  <c r="N284" i="1" s="1"/>
  <c r="G281" i="1"/>
  <c r="G231" i="1"/>
  <c r="N231" i="1" s="1"/>
  <c r="G230" i="1"/>
  <c r="N230" i="1" s="1"/>
  <c r="G277" i="1"/>
  <c r="E278" i="1"/>
  <c r="H287" i="1" s="1"/>
  <c r="E224" i="1"/>
  <c r="H233" i="1" s="1"/>
  <c r="G223" i="1"/>
  <c r="E163" i="1"/>
  <c r="H167" i="1" s="1"/>
  <c r="E179" i="1"/>
  <c r="H289" i="1" l="1"/>
  <c r="I289" i="1" s="1"/>
  <c r="J289" i="1" s="1"/>
  <c r="L289" i="1" s="1"/>
  <c r="I234" i="1"/>
  <c r="I235" i="1"/>
  <c r="I292" i="1"/>
  <c r="J292" i="1" s="1"/>
  <c r="L292" i="1" s="1"/>
  <c r="I167" i="1"/>
  <c r="I169" i="1"/>
  <c r="J169" i="1" s="1"/>
  <c r="L169" i="1" s="1"/>
  <c r="I233" i="1"/>
  <c r="I287" i="1"/>
  <c r="J287" i="1" s="1"/>
  <c r="L287" i="1" s="1"/>
  <c r="I288" i="1"/>
  <c r="J288" i="1" s="1"/>
  <c r="L288" i="1" s="1"/>
  <c r="I290" i="1"/>
  <c r="J290" i="1" s="1"/>
  <c r="L290" i="1" s="1"/>
  <c r="I236" i="1"/>
  <c r="J236" i="1" s="1"/>
  <c r="L236" i="1" s="1"/>
  <c r="J234" i="1"/>
  <c r="L234" i="1" s="1"/>
  <c r="J235" i="1" l="1"/>
  <c r="L235" i="1" s="1"/>
  <c r="J233" i="1"/>
  <c r="L233" i="1" s="1"/>
  <c r="K223" i="1"/>
  <c r="N223" i="1" s="1"/>
  <c r="J167" i="1"/>
  <c r="L167" i="1" s="1"/>
  <c r="N162" i="1"/>
  <c r="K277" i="1"/>
  <c r="N277" i="1" s="1"/>
  <c r="N166" i="1" l="1"/>
  <c r="E161" i="1"/>
  <c r="H171" i="1" s="1"/>
  <c r="E159" i="1"/>
  <c r="H168" i="1" s="1"/>
  <c r="E186" i="1"/>
  <c r="F109" i="1"/>
  <c r="H101" i="1"/>
  <c r="H103" i="1" s="1"/>
  <c r="E131" i="1"/>
  <c r="E64" i="1"/>
  <c r="G72" i="1" s="1"/>
  <c r="E63" i="1"/>
  <c r="G66" i="1" s="1"/>
  <c r="G71" i="1"/>
  <c r="E67" i="1"/>
  <c r="H74" i="1" s="1"/>
  <c r="E68" i="1"/>
  <c r="H75" i="1" s="1"/>
  <c r="E69" i="1"/>
  <c r="H76" i="1" s="1"/>
  <c r="E70" i="1"/>
  <c r="H77" i="1" s="1"/>
  <c r="K71" i="1"/>
  <c r="K72" i="1"/>
  <c r="K73" i="1"/>
  <c r="K74" i="1"/>
  <c r="K75" i="1"/>
  <c r="K76" i="1"/>
  <c r="K77" i="1"/>
  <c r="C118" i="1"/>
  <c r="C119" i="1"/>
  <c r="N165" i="1"/>
  <c r="E228" i="1" l="1"/>
  <c r="H232" i="1" s="1"/>
  <c r="I232" i="1" s="1"/>
  <c r="I168" i="1"/>
  <c r="I171" i="1"/>
  <c r="J171" i="1" s="1"/>
  <c r="L171" i="1" s="1"/>
  <c r="H286" i="1"/>
  <c r="I286" i="1" s="1"/>
  <c r="J108" i="1"/>
  <c r="E133" i="1"/>
  <c r="E135" i="1" s="1"/>
  <c r="E137" i="1" s="1"/>
  <c r="H135" i="1" s="1"/>
  <c r="E42" i="1"/>
  <c r="E44" i="1"/>
  <c r="N71" i="1"/>
  <c r="C120" i="1"/>
  <c r="E118" i="1" s="1"/>
  <c r="N72" i="1"/>
  <c r="I75" i="1"/>
  <c r="J75" i="1" s="1"/>
  <c r="L75" i="1" s="1"/>
  <c r="I76" i="1"/>
  <c r="J76" i="1" s="1"/>
  <c r="L76" i="1" s="1"/>
  <c r="E65" i="1"/>
  <c r="G73" i="1" s="1"/>
  <c r="N73" i="1" s="1"/>
  <c r="I74" i="1"/>
  <c r="I77" i="1"/>
  <c r="J77" i="1" s="1"/>
  <c r="L77" i="1" s="1"/>
  <c r="J232" i="1" l="1"/>
  <c r="K227" i="1"/>
  <c r="N227" i="1" s="1"/>
  <c r="N158" i="1"/>
  <c r="J168" i="1"/>
  <c r="L168" i="1" s="1"/>
  <c r="L172" i="1" s="1"/>
  <c r="M170" i="1" s="1"/>
  <c r="J286" i="1"/>
  <c r="L286" i="1" s="1"/>
  <c r="L291" i="1" s="1"/>
  <c r="M292" i="1" s="1"/>
  <c r="K281" i="1"/>
  <c r="N281" i="1" s="1"/>
  <c r="L232" i="1"/>
  <c r="L237" i="1" s="1"/>
  <c r="M235" i="1" s="1"/>
  <c r="H137" i="1"/>
  <c r="E46" i="1"/>
  <c r="E119" i="1"/>
  <c r="K66" i="1"/>
  <c r="N66" i="1" s="1"/>
  <c r="J74" i="1"/>
  <c r="L74" i="1" s="1"/>
  <c r="N172" i="1" l="1"/>
  <c r="O158" i="1" s="1"/>
  <c r="O162" i="1"/>
  <c r="O166" i="1"/>
  <c r="O165" i="1"/>
  <c r="N237" i="1"/>
  <c r="O227" i="1" s="1"/>
  <c r="M232" i="1"/>
  <c r="M236" i="1"/>
  <c r="M233" i="1"/>
  <c r="M234" i="1"/>
  <c r="N291" i="1"/>
  <c r="N294" i="1" s="1"/>
  <c r="M289" i="1"/>
  <c r="N78" i="1"/>
  <c r="L78" i="1"/>
  <c r="M290" i="1" l="1"/>
  <c r="M287" i="1"/>
  <c r="M288" i="1"/>
  <c r="M286" i="1"/>
  <c r="O284" i="1"/>
  <c r="O285" i="1"/>
  <c r="O277" i="1"/>
  <c r="O281" i="1"/>
  <c r="O230" i="1"/>
  <c r="O231" i="1"/>
  <c r="O223" i="1"/>
  <c r="O237" i="1" s="1"/>
  <c r="M167" i="1"/>
  <c r="M169" i="1"/>
  <c r="M171" i="1"/>
  <c r="M168" i="1"/>
  <c r="M237" i="1"/>
  <c r="D124" i="1"/>
  <c r="H124" i="1" s="1"/>
  <c r="L124" i="1" s="1"/>
  <c r="D141" i="1"/>
  <c r="H141" i="1" s="1"/>
  <c r="L141" i="1" s="1"/>
  <c r="D142" i="1"/>
  <c r="H142" i="1" s="1"/>
  <c r="L142" i="1" s="1"/>
  <c r="O66" i="1"/>
  <c r="O172" i="1"/>
  <c r="M76" i="1"/>
  <c r="M75" i="1"/>
  <c r="M77" i="1"/>
  <c r="M74" i="1"/>
  <c r="D125" i="1"/>
  <c r="H125" i="1" s="1"/>
  <c r="L125" i="1" s="1"/>
  <c r="O71" i="1"/>
  <c r="O73" i="1"/>
  <c r="O72" i="1"/>
  <c r="M291" i="1" l="1"/>
  <c r="M172" i="1"/>
  <c r="O291" i="1"/>
  <c r="L126" i="1"/>
  <c r="L143" i="1"/>
</calcChain>
</file>

<file path=xl/sharedStrings.xml><?xml version="1.0" encoding="utf-8"?>
<sst xmlns="http://schemas.openxmlformats.org/spreadsheetml/2006/main" count="539" uniqueCount="201">
  <si>
    <t>Les procédés en bleu sont désagrégés et ceux en brun sont agrégés.</t>
  </si>
  <si>
    <t>Life cycle inventory (intermediary flows)</t>
  </si>
  <si>
    <t>Life Cycle Inventory (elementary flow, CO2)</t>
  </si>
  <si>
    <t>Unit processes</t>
  </si>
  <si>
    <t>unit and</t>
  </si>
  <si>
    <t>Scaling factors [-] to:</t>
  </si>
  <si>
    <t>Intermediary flows / FU</t>
  </si>
  <si>
    <t>Flow type</t>
  </si>
  <si>
    <t>Flow name</t>
  </si>
  <si>
    <t>Quantity</t>
  </si>
  <si>
    <t>dimensions</t>
  </si>
  <si>
    <t>FU</t>
  </si>
  <si>
    <t>kgCO2 /</t>
  </si>
  <si>
    <t>Disaggregated unit processes (foreground)</t>
  </si>
  <si>
    <t>Tier 0-1</t>
  </si>
  <si>
    <t>Tier 1-2</t>
  </si>
  <si>
    <t>Tier n-0</t>
  </si>
  <si>
    <t>unit of product</t>
  </si>
  <si>
    <t>kgCO2/unit</t>
  </si>
  <si>
    <t>%</t>
  </si>
  <si>
    <t>Output (FU)</t>
  </si>
  <si>
    <t>Functional unit</t>
  </si>
  <si>
    <t>Input</t>
  </si>
  <si>
    <t>units</t>
  </si>
  <si>
    <t>Output</t>
  </si>
  <si>
    <t>unit</t>
  </si>
  <si>
    <t>kg</t>
  </si>
  <si>
    <t>Ouptut</t>
  </si>
  <si>
    <t>TOTAL</t>
  </si>
  <si>
    <t>Electricity</t>
  </si>
  <si>
    <t>Stack</t>
  </si>
  <si>
    <t>kWh</t>
  </si>
  <si>
    <t>BoP</t>
  </si>
  <si>
    <t>EoL</t>
  </si>
  <si>
    <t>Kg</t>
  </si>
  <si>
    <t>Bop</t>
  </si>
  <si>
    <t>Acier</t>
  </si>
  <si>
    <t>Unit of stack</t>
  </si>
  <si>
    <t xml:space="preserve">Unit of stack </t>
  </si>
  <si>
    <t>Extracted from the ecoinvent LCI Database</t>
  </si>
  <si>
    <t>Le même raisonnement s’applique à l’EoL (End of Life), puisque celui-ci est directement lié au stack.</t>
  </si>
  <si>
    <r>
      <t xml:space="preserve">Pour le </t>
    </r>
    <r>
      <rPr>
        <sz val="11"/>
        <color theme="1"/>
        <rFont val="Aptos Narrow"/>
        <family val="2"/>
        <scheme val="minor"/>
      </rPr>
      <t>BoP (Balance of Plant), la seule différence est la durée de vie prise en compte, qui est de 20 ans au lieu de 10. L’ajustement devient donc :</t>
    </r>
  </si>
  <si>
    <t>Pour le stack, nous n’en considérons qu’une fraction. En effet, nous utilisons seulement 1 heure de fonctionnement pour produire 1kgH2 sur les 10 ans de durée de vie, et nous prenons en compte une masse de 1 kg (au lieu de 1,43 kg). C’est pourquoi l’impact du stack est ajusté en fonction du temps et de la quantité, soit :</t>
  </si>
  <si>
    <t>Constantes</t>
  </si>
  <si>
    <t>d/y</t>
  </si>
  <si>
    <t>h/d</t>
  </si>
  <si>
    <t>g/kg</t>
  </si>
  <si>
    <t>Lifetime_stack</t>
  </si>
  <si>
    <t>y</t>
  </si>
  <si>
    <t>Lifetime_BoP</t>
  </si>
  <si>
    <t>Key parameters</t>
  </si>
  <si>
    <t>Contribution analysis</t>
  </si>
  <si>
    <t>Tier1/FU</t>
  </si>
  <si>
    <t>Tier2/stack</t>
  </si>
  <si>
    <r>
      <t>Life Cycle Inventory (kgCO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/unit)</t>
    </r>
  </si>
  <si>
    <t>Références</t>
  </si>
  <si>
    <t>Fabrication D'électricité Controllable</t>
  </si>
  <si>
    <t>H2</t>
  </si>
  <si>
    <t>KW</t>
  </si>
  <si>
    <t>Nickel</t>
  </si>
  <si>
    <t>Zircone</t>
  </si>
  <si>
    <t>Lanthane</t>
  </si>
  <si>
    <r>
      <t>H</t>
    </r>
    <r>
      <rPr>
        <vertAlign val="subscript"/>
        <sz val="11"/>
        <color theme="1"/>
        <rFont val="Aptos Narrow"/>
        <family val="2"/>
        <scheme val="minor"/>
      </rPr>
      <t>2</t>
    </r>
  </si>
  <si>
    <t>Hydrogène</t>
  </si>
  <si>
    <t>Masse_Nickel</t>
  </si>
  <si>
    <t>Mass-Zircone</t>
  </si>
  <si>
    <t>Masse_Acier</t>
  </si>
  <si>
    <t>Masse_Lanthane</t>
  </si>
  <si>
    <t>Heat</t>
  </si>
  <si>
    <t>KJ/KWh d'électricité</t>
  </si>
  <si>
    <t>kg/KWh d'électricité</t>
  </si>
  <si>
    <t xml:space="preserve"> Pour chaque processus unitaire du système de produit mettez à l’échelle les flux intermédiaires intrants à l’unité de produit (ou flux intermédiaire extrant) à l’aide des paramètres clés.</t>
  </si>
  <si>
    <r>
      <rPr>
        <b/>
        <sz val="7"/>
        <color theme="1"/>
        <rFont val="Times New Roman"/>
        <family val="1"/>
      </rPr>
      <t xml:space="preserve">   </t>
    </r>
    <r>
      <rPr>
        <b/>
        <sz val="11"/>
        <color theme="1"/>
        <rFont val="Cambria"/>
        <family val="1"/>
      </rPr>
      <t>Explicitez les équations pour le calcul de chaque valeur</t>
    </r>
  </si>
  <si>
    <r>
      <rPr>
        <b/>
        <sz val="7"/>
        <color theme="1"/>
        <rFont val="Times New Roman"/>
        <family val="1"/>
      </rPr>
      <t xml:space="preserve"> </t>
    </r>
    <r>
      <rPr>
        <b/>
        <sz val="11"/>
        <color theme="1"/>
        <rFont val="Cambria"/>
        <family val="1"/>
      </rPr>
      <t>Représentez chaque processus unitaire de manière tabulaire</t>
    </r>
  </si>
  <si>
    <t xml:space="preserve"> Mettez à l’échelle les flux intermédiaires à l’unité fonctionnelle à l’aide des facteurs de mise à l’échelle</t>
  </si>
  <si>
    <r>
      <rPr>
        <b/>
        <sz val="7"/>
        <color theme="1"/>
        <rFont val="Times New Roman"/>
        <family val="1"/>
      </rPr>
      <t xml:space="preserve">  </t>
    </r>
    <r>
      <rPr>
        <b/>
        <sz val="11"/>
        <color theme="1"/>
        <rFont val="Cambria"/>
        <family val="1"/>
      </rPr>
      <t>Calculez l’inventaire de CO</t>
    </r>
    <r>
      <rPr>
        <b/>
        <vertAlign val="subscript"/>
        <sz val="11"/>
        <color theme="1"/>
        <rFont val="Cambria"/>
        <family val="1"/>
      </rPr>
      <t>2</t>
    </r>
    <r>
      <rPr>
        <b/>
        <sz val="11"/>
        <color theme="1"/>
        <rFont val="Cambria"/>
        <family val="1"/>
      </rPr>
      <t xml:space="preserve"> </t>
    </r>
  </si>
  <si>
    <r>
      <rPr>
        <b/>
        <sz val="7"/>
        <color theme="1"/>
        <rFont val="Times New Roman"/>
        <family val="1"/>
      </rPr>
      <t xml:space="preserve"> </t>
    </r>
    <r>
      <rPr>
        <b/>
        <sz val="11"/>
        <color theme="1"/>
        <rFont val="Cambria"/>
        <family val="1"/>
      </rPr>
      <t>mis à l’échelle de l’unité fonctionnelle</t>
    </r>
  </si>
  <si>
    <r>
      <rPr>
        <b/>
        <sz val="7"/>
        <color theme="1"/>
        <rFont val="Times New Roman"/>
        <family val="1"/>
      </rPr>
      <t xml:space="preserve"> </t>
    </r>
    <r>
      <rPr>
        <b/>
        <sz val="11"/>
        <color theme="1"/>
        <rFont val="Cambria"/>
        <family val="1"/>
      </rPr>
      <t>mis à l’échelle de chacun des processus unitaires du système de produit (inventaire du « berceau à la porte »)</t>
    </r>
  </si>
  <si>
    <t xml:space="preserve">CO₂/m³ </t>
  </si>
  <si>
    <t xml:space="preserve">kg CO₂/kg </t>
  </si>
  <si>
    <t xml:space="preserve">kJ/kg </t>
  </si>
  <si>
    <t xml:space="preserve">Pouvoir calorifique du gaz naturel </t>
  </si>
  <si>
    <t>Rendement d’un chauffage au gaz</t>
  </si>
  <si>
    <t>KJ/KWh:</t>
  </si>
  <si>
    <r>
      <t xml:space="preserve"> Soit </t>
    </r>
    <r>
      <rPr>
        <b/>
        <sz val="11"/>
        <color theme="1"/>
        <rFont val="Aptos Narrow"/>
        <family val="2"/>
        <scheme val="minor"/>
      </rPr>
      <t>50,4 g de gaz naturel par kWh d’électricité</t>
    </r>
    <r>
      <rPr>
        <sz val="11"/>
        <color theme="1"/>
        <rFont val="Aptos Narrow"/>
        <family val="2"/>
        <scheme val="minor"/>
      </rPr>
      <t>.</t>
    </r>
  </si>
  <si>
    <t xml:space="preserve">Kg / m³ </t>
  </si>
  <si>
    <t>Conversion gas Naturel</t>
  </si>
  <si>
    <t xml:space="preserve">ce qui donne: </t>
  </si>
  <si>
    <t>0.12-0.159 :</t>
  </si>
  <si>
    <t>kg CO₂/KWh</t>
  </si>
  <si>
    <t>Allocation énergétique :</t>
  </si>
  <si>
    <t xml:space="preserve">2.7 kg CO₂/kg  * 0.056 Kg + (0.056 Kg *0.133 CO₂/m³ ) / 0.8  Kg / m³ </t>
  </si>
  <si>
    <t>Gas Naturel :</t>
  </si>
  <si>
    <t>Electricité</t>
  </si>
  <si>
    <t>Allocation économique :</t>
  </si>
  <si>
    <t>Ici, notre allocation énergétique met davantage l’accent sur l’impact lié à l’électricité, tandis qu’une autre approche d’allocation peut privilégier l’impact de la chaleur. Le choix de la méthode la plus appropriée revient à l’ACViste, en fonction du contexte de l'étude</t>
  </si>
  <si>
    <t>Canette Vide</t>
  </si>
  <si>
    <t>Eau</t>
  </si>
  <si>
    <t>Sucre de canne</t>
  </si>
  <si>
    <t>Canette vide</t>
  </si>
  <si>
    <t>Sucre de Canne</t>
  </si>
  <si>
    <t>KWh</t>
  </si>
  <si>
    <t>MJ</t>
  </si>
  <si>
    <t>Hydrogen</t>
  </si>
  <si>
    <t xml:space="preserve">Emissions de 1 m³ de gaz naturel </t>
  </si>
  <si>
    <t>Emissions combustion du gaz naturel</t>
  </si>
  <si>
    <t>kg_GN</t>
  </si>
  <si>
    <r>
      <t>Les émissions de CO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du Gas Naturel :</t>
    </r>
  </si>
  <si>
    <t>Les émissions totales du système de produit SOEC sont donc égales à:</t>
  </si>
  <si>
    <t xml:space="preserve">Il est important de bien interpréter ce résultat négatif. En effet, l’utilisation d’une SOFC pour les besoins de l'aluminerie ne permet pas de séquestrer du CO₂. </t>
  </si>
  <si>
    <t>En revanche, elle permet de réduire les émissions comparativement à un état de référence qui utilise du gaz naturel : produire 1 kWh d’électricité et 2.52 MJ de chaleur avec une SOFC utilisant de l'hydrogène vert émet moins de CO₂ que de produire ces 2.52 MJ de chaleur à partir de gaz naturel.</t>
  </si>
  <si>
    <t xml:space="preserve">Energie totale produite: </t>
  </si>
  <si>
    <t>Energie électrique</t>
  </si>
  <si>
    <t>MJ/kWh</t>
  </si>
  <si>
    <t>Energie chaleur</t>
  </si>
  <si>
    <t>58.8% des émissions de CO2 sont attribuées à a l'éctricité et  41.2% à la chaleur</t>
  </si>
  <si>
    <t>facteurs d'allocation</t>
  </si>
  <si>
    <t>Emissions liés a la production de Chaleur :</t>
  </si>
  <si>
    <t>--&gt;</t>
  </si>
  <si>
    <t>Emissions liés a la production d'électricité :</t>
  </si>
  <si>
    <t>kW/h</t>
  </si>
  <si>
    <t>Production electricité</t>
  </si>
  <si>
    <t xml:space="preserve">   FR_EoL (unit) = Fr_stack (unit) +  Fr_BoP (unit)</t>
  </si>
  <si>
    <t>1.2 Construisez l’arbre de procédés représentant le système de produit du « berceau au tombeau », identifiant les processus unitaires désagrégés (« porte à porte ») vs. agrégés (« berceau à la porte ») en accord avec le calcul d’inventaire du cycle de vie ci-dessous.</t>
  </si>
  <si>
    <r>
      <t>1.1</t>
    </r>
    <r>
      <rPr>
        <b/>
        <sz val="7"/>
        <color theme="1"/>
        <rFont val="Times New Roman"/>
        <family val="1"/>
      </rPr>
      <t>   </t>
    </r>
    <r>
      <rPr>
        <b/>
        <sz val="11"/>
        <color theme="1"/>
        <rFont val="Cambria"/>
        <family val="1"/>
      </rPr>
      <t>Définissez fonction et unité(s) fonctionnelle(s) du système de produit.</t>
    </r>
  </si>
  <si>
    <t>Fonction: production electricité et chaleur haute temperature</t>
  </si>
  <si>
    <t>Unité Fonctionnelle: 1kWh_electricité et 2.52 MJ chaleur</t>
  </si>
  <si>
    <t>FdV</t>
  </si>
  <si>
    <t>m3_GN</t>
  </si>
  <si>
    <t>Revenus GN:</t>
  </si>
  <si>
    <t>Prix_GN</t>
  </si>
  <si>
    <t>Quantité/UF:</t>
  </si>
  <si>
    <t>Quantité/UF</t>
  </si>
  <si>
    <t>Prix electricité</t>
  </si>
  <si>
    <t>CHF/kWh</t>
  </si>
  <si>
    <t>Revenus electricité</t>
  </si>
  <si>
    <t>CHF/m3_GN</t>
  </si>
  <si>
    <t>CHF</t>
  </si>
  <si>
    <t>Electricité:</t>
  </si>
  <si>
    <t>Revenu totaux</t>
  </si>
  <si>
    <t>Facteurs d'allocation</t>
  </si>
  <si>
    <t>49% des impacts sont attribués à l'electricité et 51% à la chaleur</t>
  </si>
  <si>
    <t>kgCO₂/kWhe</t>
  </si>
  <si>
    <t xml:space="preserve">kgCO₂/2.52MJ_chaleur </t>
  </si>
  <si>
    <t>kgCO₂/2.52MJ_chaleur</t>
  </si>
  <si>
    <t>kgCO₂/3.6MJ_electr</t>
  </si>
  <si>
    <t xml:space="preserve">kgCO₂/kWhe </t>
  </si>
  <si>
    <t>kgCO₂/MJ _chaleur</t>
  </si>
  <si>
    <t>Vérification</t>
  </si>
  <si>
    <t xml:space="preserve">   FR_stack (unit) = 1kg / (10y × 365d/y × 24h/d × 50KW/h)=</t>
  </si>
  <si>
    <t xml:space="preserve">   FR_BoP (unit) = 1 / (20y × 365d/y × 24h/d ×50KW/h)=</t>
  </si>
  <si>
    <r>
      <t xml:space="preserve">En tenant compte du rendement de combustion de </t>
    </r>
    <r>
      <rPr>
        <b/>
        <sz val="11"/>
        <color theme="1"/>
        <rFont val="Aptos Narrow"/>
        <family val="2"/>
        <scheme val="minor"/>
      </rPr>
      <t>90 %</t>
    </r>
    <r>
      <rPr>
        <sz val="11"/>
        <color theme="1"/>
        <rFont val="Aptos Narrow"/>
        <family val="2"/>
        <scheme val="minor"/>
      </rPr>
      <t>, la quantité réelle de gaz nécessaire pour produire 1kWhe est :</t>
    </r>
  </si>
  <si>
    <t>Quantité équivalente de chaleur produite par du gaz naturel de : 2520 kJ/50000 kJ/kg=0,0504</t>
  </si>
  <si>
    <t xml:space="preserve">Pour chaquer kWh d’électricité contrôlable la SOFC génère également 2520 kJ de chaleur </t>
  </si>
  <si>
    <t>Composé</t>
  </si>
  <si>
    <t>Quantité</t>
  </si>
  <si>
    <t>Unité</t>
  </si>
  <si>
    <t>Sucre</t>
  </si>
  <si>
    <t>Recyclage d’Aluminium</t>
  </si>
  <si>
    <t>Kg CO2/Unité</t>
  </si>
  <si>
    <t>Aluminium recyclé</t>
  </si>
  <si>
    <t>Recyclage Aluminium</t>
  </si>
  <si>
    <t>1.3 Procédez à une expansion du système afin de traiter la multifonctionnalité liée à la production simultanée d’électricité et de chaleur par la SOFC</t>
  </si>
  <si>
    <t>1.4 Procédez à une allocation énergétique et économique pour gérer la multifonctionnalité</t>
  </si>
  <si>
    <t>Considérons maintenant que :</t>
  </si>
  <si>
    <r>
      <t>2.2</t>
    </r>
    <r>
      <rPr>
        <sz val="11"/>
        <color theme="1"/>
        <rFont val="Cambria"/>
        <family val="1"/>
      </rPr>
      <t xml:space="preserve"> Utiliser la méthode « contenu en recyclé » (« cutoff ») pour construire l’arbre de procédés</t>
    </r>
  </si>
  <si>
    <t>recyclé</t>
  </si>
  <si>
    <t>Production cannette</t>
  </si>
  <si>
    <t>primaire</t>
  </si>
  <si>
    <t>FdV cannette</t>
  </si>
  <si>
    <t>collecté et recyclé</t>
  </si>
  <si>
    <t>mis en décharge</t>
  </si>
  <si>
    <t>Données</t>
  </si>
  <si>
    <t>Poids cannette Aluminium</t>
  </si>
  <si>
    <t>g</t>
  </si>
  <si>
    <t>kWh/cannette</t>
  </si>
  <si>
    <t>Electricité pour prod cannette</t>
  </si>
  <si>
    <t>Canette vide utilisée</t>
  </si>
  <si>
    <t>Landfill of aluminium</t>
  </si>
  <si>
    <t>Mise en décharge Al</t>
  </si>
  <si>
    <t>Recyclage Al</t>
  </si>
  <si>
    <t>Déchet aluminium</t>
  </si>
  <si>
    <t>Aluminium primaire</t>
  </si>
  <si>
    <r>
      <t>2.3</t>
    </r>
    <r>
      <rPr>
        <sz val="11"/>
        <color theme="1"/>
        <rFont val="Cambria"/>
        <family val="1"/>
      </rPr>
      <t xml:space="preserve"> Utiliser la méthode « recyclage en fin de vie » pour construire le même arbre de procédés</t>
    </r>
  </si>
  <si>
    <t>Aluminium primaire évité</t>
  </si>
  <si>
    <t>Prod. Electricity</t>
  </si>
  <si>
    <t>Prod Aluminium primaire</t>
  </si>
  <si>
    <r>
      <t xml:space="preserve">2.4 </t>
    </r>
    <r>
      <rPr>
        <sz val="11"/>
        <color theme="1"/>
        <rFont val="Cambria"/>
        <family val="1"/>
      </rPr>
      <t xml:space="preserve">Utiliser la méthode « cutoff » pour calculer l’inventaire du cycle de vie avec 80 % d’aluminium recyclé. Comment le résultat varie-t-il par rapport à un cas avec 100 % d’aluminium primaire </t>
    </r>
  </si>
  <si>
    <t>TOTAL net</t>
  </si>
  <si>
    <t>Convesion unités:</t>
  </si>
  <si>
    <t>Déchet aluminium trié</t>
  </si>
  <si>
    <t>Le recyclage de l'aluminium permet de réduire les émissions de CO2 pour la production de cannettes comparativement à l'utilisation de 100% d'aluminium vierge sans recyclage en fin devie</t>
  </si>
  <si>
    <t>Dans la méthode cut-off on observe une réduction des émissions de CO2 à cause de l'approvisionnement de 20% d'aluminium recyclé, et en moindre mésure, de l'exclusion du traitement en fin de vie de la fraction qui sera recyclée dans un système de produit en aval</t>
  </si>
  <si>
    <t>Dans la méthode cut-off on observe une réduction des émissions de CO2 à cause de l'approvisionnement de 20% d'aluminium recyclé, et en moindre mésure, de l'exclusion du traitement en fin de vie de la fraction qui sera recyclée dans un système de produit e</t>
  </si>
  <si>
    <t>recycl. FdV</t>
  </si>
  <si>
    <t>100% primaire</t>
  </si>
  <si>
    <t>2.1 Utiliser la méthode séquentielle pour calculer l’inventaire du cycle de vie avec 100 % d’aluminium primaire.</t>
  </si>
  <si>
    <t>Net</t>
  </si>
  <si>
    <t>cut-off</t>
  </si>
  <si>
    <t>Recyclage Aluminium - aval</t>
  </si>
  <si>
    <t>Recyclage Aluminium - amont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</si>
</sst>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Cambria"/>
      <family val="1"/>
    </font>
    <font>
      <b/>
      <sz val="7"/>
      <color theme="1"/>
      <name val="Times New Roman"/>
      <family val="1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b/>
      <vertAlign val="subscript"/>
      <sz val="11"/>
      <color theme="1"/>
      <name val="Cambria"/>
      <family val="1"/>
    </font>
    <font>
      <b/>
      <sz val="14"/>
      <color theme="1"/>
      <name val="Cambria"/>
      <family val="1"/>
    </font>
    <font>
      <vertAlign val="subscript"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Symbol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rgb="FF009FBB"/>
        <bgColor indexed="64"/>
      </patternFill>
    </fill>
    <fill>
      <patternFill patternType="solid">
        <fgColor rgb="FF948A54"/>
        <bgColor indexed="64"/>
      </patternFill>
    </fill>
    <fill>
      <patternFill patternType="solid">
        <fgColor rgb="FFFFFF00"/>
        <bgColor indexed="64"/>
      </patternFill>
    </fill>
  </fills>
  <borders count="8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CCCCCC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/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indexed="64"/>
      </right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/>
      <bottom style="medium">
        <color indexed="64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indexed="64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/>
      <diagonal/>
    </border>
    <border>
      <left style="medium">
        <color indexed="64"/>
      </left>
      <right/>
      <top style="medium">
        <color rgb="FFCCCCCC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indexed="64"/>
      </left>
      <right/>
      <top style="medium">
        <color rgb="FFCCCCCC"/>
      </top>
      <bottom/>
      <diagonal/>
    </border>
    <border>
      <left style="medium">
        <color indexed="64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rgb="FFCCCCCC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CCCCCC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280">
    <xf numFmtId="0" fontId="0" fillId="0" borderId="0" xfId="0"/>
    <xf numFmtId="0" fontId="1" fillId="0" borderId="0" xfId="0" applyFont="1" applyAlignment="1">
      <alignment horizontal="left" vertical="center" indent="6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5" fillId="2" borderId="4" xfId="0" applyFont="1" applyFill="1" applyBorder="1" applyAlignment="1">
      <alignment vertical="center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1" xfId="0" applyBorder="1" applyAlignment="1">
      <alignment horizontal="right" wrapText="1"/>
    </xf>
    <xf numFmtId="0" fontId="5" fillId="0" borderId="1" xfId="0" applyFont="1" applyBorder="1" applyAlignment="1">
      <alignment horizontal="right" wrapText="1"/>
    </xf>
    <xf numFmtId="0" fontId="5" fillId="0" borderId="5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9" fontId="0" fillId="0" borderId="5" xfId="0" applyNumberFormat="1" applyBorder="1" applyAlignment="1">
      <alignment horizontal="right" wrapText="1"/>
    </xf>
    <xf numFmtId="11" fontId="0" fillId="0" borderId="0" xfId="0" applyNumberFormat="1"/>
    <xf numFmtId="11" fontId="0" fillId="0" borderId="1" xfId="0" applyNumberFormat="1" applyBorder="1" applyAlignment="1">
      <alignment horizontal="right" wrapText="1"/>
    </xf>
    <xf numFmtId="0" fontId="8" fillId="0" borderId="0" xfId="0" applyFont="1" applyAlignment="1">
      <alignment horizontal="left" vertical="center" indent="6"/>
    </xf>
    <xf numFmtId="0" fontId="3" fillId="0" borderId="13" xfId="0" applyFont="1" applyBorder="1" applyAlignment="1">
      <alignment horizontal="right" wrapText="1"/>
    </xf>
    <xf numFmtId="0" fontId="0" fillId="0" borderId="14" xfId="0" applyBorder="1" applyAlignment="1">
      <alignment wrapText="1"/>
    </xf>
    <xf numFmtId="0" fontId="0" fillId="0" borderId="6" xfId="0" applyBorder="1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right" wrapText="1"/>
    </xf>
    <xf numFmtId="0" fontId="0" fillId="2" borderId="18" xfId="0" applyFill="1" applyBorder="1" applyAlignment="1">
      <alignment vertical="center" wrapText="1"/>
    </xf>
    <xf numFmtId="0" fontId="5" fillId="0" borderId="19" xfId="0" applyFont="1" applyBorder="1" applyAlignment="1">
      <alignment wrapText="1"/>
    </xf>
    <xf numFmtId="0" fontId="0" fillId="0" borderId="19" xfId="0" applyBorder="1" applyAlignment="1">
      <alignment wrapText="1"/>
    </xf>
    <xf numFmtId="0" fontId="5" fillId="0" borderId="19" xfId="0" applyFont="1" applyBorder="1" applyAlignment="1">
      <alignment horizontal="right" wrapText="1"/>
    </xf>
    <xf numFmtId="0" fontId="5" fillId="0" borderId="20" xfId="0" applyFont="1" applyBorder="1" applyAlignment="1">
      <alignment wrapText="1"/>
    </xf>
    <xf numFmtId="0" fontId="0" fillId="2" borderId="21" xfId="0" applyFill="1" applyBorder="1" applyAlignment="1">
      <alignment vertical="center" wrapText="1"/>
    </xf>
    <xf numFmtId="0" fontId="5" fillId="0" borderId="22" xfId="0" applyFont="1" applyBorder="1" applyAlignment="1">
      <alignment wrapText="1"/>
    </xf>
    <xf numFmtId="0" fontId="0" fillId="2" borderId="23" xfId="0" applyFill="1" applyBorder="1" applyAlignment="1">
      <alignment vertical="center" wrapText="1"/>
    </xf>
    <xf numFmtId="0" fontId="5" fillId="0" borderId="24" xfId="0" applyFont="1" applyBorder="1" applyAlignment="1">
      <alignment wrapText="1"/>
    </xf>
    <xf numFmtId="0" fontId="0" fillId="0" borderId="24" xfId="0" applyBorder="1" applyAlignment="1">
      <alignment wrapText="1"/>
    </xf>
    <xf numFmtId="0" fontId="5" fillId="0" borderId="24" xfId="0" applyFont="1" applyBorder="1" applyAlignment="1">
      <alignment horizontal="right" wrapText="1"/>
    </xf>
    <xf numFmtId="0" fontId="5" fillId="0" borderId="25" xfId="0" applyFont="1" applyBorder="1" applyAlignment="1">
      <alignment wrapText="1"/>
    </xf>
    <xf numFmtId="0" fontId="0" fillId="0" borderId="0" xfId="0" applyAlignment="1">
      <alignment horizontal="right" wrapText="1"/>
    </xf>
    <xf numFmtId="0" fontId="0" fillId="0" borderId="16" xfId="0" applyBorder="1" applyAlignment="1">
      <alignment wrapText="1"/>
    </xf>
    <xf numFmtId="0" fontId="0" fillId="0" borderId="16" xfId="0" applyBorder="1" applyAlignment="1">
      <alignment horizontal="right" wrapText="1"/>
    </xf>
    <xf numFmtId="0" fontId="0" fillId="0" borderId="17" xfId="0" applyBorder="1" applyAlignment="1">
      <alignment wrapText="1"/>
    </xf>
    <xf numFmtId="0" fontId="0" fillId="0" borderId="22" xfId="0" applyBorder="1" applyAlignment="1">
      <alignment wrapText="1"/>
    </xf>
    <xf numFmtId="0" fontId="0" fillId="3" borderId="21" xfId="0" applyFill="1" applyBorder="1" applyAlignment="1">
      <alignment wrapText="1"/>
    </xf>
    <xf numFmtId="0" fontId="0" fillId="3" borderId="23" xfId="0" applyFill="1" applyBorder="1" applyAlignment="1">
      <alignment wrapText="1"/>
    </xf>
    <xf numFmtId="0" fontId="0" fillId="0" borderId="24" xfId="0" applyBorder="1" applyAlignment="1">
      <alignment horizontal="right" wrapText="1"/>
    </xf>
    <xf numFmtId="0" fontId="0" fillId="0" borderId="25" xfId="0" applyBorder="1" applyAlignment="1">
      <alignment wrapText="1"/>
    </xf>
    <xf numFmtId="0" fontId="0" fillId="0" borderId="26" xfId="0" applyBorder="1" applyAlignment="1">
      <alignment vertical="center"/>
    </xf>
    <xf numFmtId="0" fontId="0" fillId="0" borderId="31" xfId="0" applyBorder="1" applyAlignment="1">
      <alignment wrapText="1"/>
    </xf>
    <xf numFmtId="0" fontId="0" fillId="0" borderId="32" xfId="0" applyBorder="1" applyAlignment="1">
      <alignment wrapText="1"/>
    </xf>
    <xf numFmtId="0" fontId="0" fillId="0" borderId="21" xfId="0" applyBorder="1"/>
    <xf numFmtId="0" fontId="0" fillId="0" borderId="22" xfId="0" applyBorder="1"/>
    <xf numFmtId="11" fontId="0" fillId="0" borderId="22" xfId="0" applyNumberFormat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0" borderId="0" xfId="0" applyFont="1" applyAlignment="1">
      <alignment horizontal="left" vertical="center" indent="3"/>
    </xf>
    <xf numFmtId="0" fontId="1" fillId="0" borderId="0" xfId="0" applyFont="1" applyAlignment="1">
      <alignment horizontal="left" vertical="center" indent="7"/>
    </xf>
    <xf numFmtId="0" fontId="4" fillId="0" borderId="0" xfId="0" applyFont="1"/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wrapText="1"/>
    </xf>
    <xf numFmtId="0" fontId="5" fillId="0" borderId="15" xfId="0" applyFont="1" applyBorder="1" applyAlignment="1">
      <alignment wrapText="1"/>
    </xf>
    <xf numFmtId="0" fontId="6" fillId="0" borderId="16" xfId="0" applyFont="1" applyBorder="1" applyAlignment="1">
      <alignment horizontal="center" vertical="center"/>
    </xf>
    <xf numFmtId="0" fontId="4" fillId="0" borderId="35" xfId="0" applyFont="1" applyBorder="1" applyAlignment="1">
      <alignment vertical="center"/>
    </xf>
    <xf numFmtId="0" fontId="0" fillId="0" borderId="36" xfId="0" applyBorder="1" applyAlignment="1">
      <alignment wrapText="1"/>
    </xf>
    <xf numFmtId="0" fontId="4" fillId="0" borderId="36" xfId="0" applyFont="1" applyBorder="1" applyAlignment="1">
      <alignment vertical="center"/>
    </xf>
    <xf numFmtId="0" fontId="0" fillId="0" borderId="29" xfId="0" applyBorder="1" applyAlignment="1">
      <alignment wrapText="1"/>
    </xf>
    <xf numFmtId="0" fontId="0" fillId="0" borderId="18" xfId="0" applyBorder="1"/>
    <xf numFmtId="11" fontId="3" fillId="0" borderId="13" xfId="0" applyNumberFormat="1" applyFont="1" applyBorder="1" applyAlignment="1">
      <alignment horizontal="right" wrapText="1"/>
    </xf>
    <xf numFmtId="0" fontId="4" fillId="0" borderId="41" xfId="0" applyFont="1" applyBorder="1" applyAlignment="1">
      <alignment wrapText="1"/>
    </xf>
    <xf numFmtId="0" fontId="0" fillId="0" borderId="42" xfId="0" applyBorder="1" applyAlignment="1">
      <alignment wrapText="1"/>
    </xf>
    <xf numFmtId="0" fontId="0" fillId="0" borderId="43" xfId="0" applyBorder="1" applyAlignment="1">
      <alignment wrapText="1"/>
    </xf>
    <xf numFmtId="11" fontId="4" fillId="0" borderId="42" xfId="0" applyNumberFormat="1" applyFont="1" applyBorder="1" applyAlignment="1">
      <alignment horizontal="right" wrapText="1"/>
    </xf>
    <xf numFmtId="9" fontId="4" fillId="0" borderId="42" xfId="0" applyNumberFormat="1" applyFont="1" applyBorder="1" applyAlignment="1">
      <alignment horizontal="right" wrapText="1"/>
    </xf>
    <xf numFmtId="9" fontId="4" fillId="0" borderId="43" xfId="0" applyNumberFormat="1" applyFont="1" applyBorder="1" applyAlignment="1">
      <alignment horizontal="right" wrapText="1"/>
    </xf>
    <xf numFmtId="0" fontId="0" fillId="0" borderId="38" xfId="0" applyBorder="1" applyAlignment="1">
      <alignment wrapText="1"/>
    </xf>
    <xf numFmtId="0" fontId="3" fillId="0" borderId="38" xfId="0" applyFont="1" applyBorder="1" applyAlignment="1">
      <alignment horizontal="right" wrapText="1"/>
    </xf>
    <xf numFmtId="9" fontId="0" fillId="0" borderId="44" xfId="0" applyNumberFormat="1" applyBorder="1" applyAlignment="1">
      <alignment horizontal="right" wrapText="1"/>
    </xf>
    <xf numFmtId="0" fontId="0" fillId="0" borderId="44" xfId="0" applyBorder="1" applyAlignment="1">
      <alignment wrapText="1"/>
    </xf>
    <xf numFmtId="11" fontId="0" fillId="0" borderId="5" xfId="0" applyNumberFormat="1" applyBorder="1" applyAlignment="1">
      <alignment horizontal="right" wrapText="1"/>
    </xf>
    <xf numFmtId="11" fontId="0" fillId="0" borderId="44" xfId="0" applyNumberFormat="1" applyBorder="1" applyAlignment="1">
      <alignment horizontal="right" wrapText="1"/>
    </xf>
    <xf numFmtId="2" fontId="4" fillId="0" borderId="42" xfId="0" applyNumberFormat="1" applyFont="1" applyBorder="1" applyAlignment="1">
      <alignment horizontal="right" wrapText="1"/>
    </xf>
    <xf numFmtId="2" fontId="0" fillId="0" borderId="1" xfId="0" applyNumberFormat="1" applyBorder="1" applyAlignment="1">
      <alignment horizontal="right" wrapText="1"/>
    </xf>
    <xf numFmtId="0" fontId="0" fillId="0" borderId="45" xfId="0" applyBorder="1" applyAlignment="1">
      <alignment wrapText="1"/>
    </xf>
    <xf numFmtId="0" fontId="0" fillId="0" borderId="46" xfId="0" applyBorder="1" applyAlignment="1">
      <alignment wrapText="1"/>
    </xf>
    <xf numFmtId="0" fontId="0" fillId="0" borderId="18" xfId="0" applyBorder="1" applyAlignment="1">
      <alignment vertical="center"/>
    </xf>
    <xf numFmtId="0" fontId="0" fillId="0" borderId="20" xfId="0" applyBorder="1" applyAlignment="1">
      <alignment wrapText="1"/>
    </xf>
    <xf numFmtId="0" fontId="0" fillId="0" borderId="23" xfId="0" applyBorder="1" applyAlignment="1">
      <alignment vertical="center"/>
    </xf>
    <xf numFmtId="0" fontId="0" fillId="0" borderId="19" xfId="0" applyBorder="1"/>
    <xf numFmtId="0" fontId="0" fillId="0" borderId="48" xfId="0" applyBorder="1" applyAlignment="1">
      <alignment horizontal="right" wrapText="1"/>
    </xf>
    <xf numFmtId="9" fontId="0" fillId="0" borderId="6" xfId="0" applyNumberFormat="1" applyBorder="1" applyAlignment="1">
      <alignment horizontal="right" wrapText="1"/>
    </xf>
    <xf numFmtId="0" fontId="0" fillId="0" borderId="13" xfId="0" applyBorder="1" applyAlignment="1">
      <alignment wrapText="1"/>
    </xf>
    <xf numFmtId="0" fontId="0" fillId="0" borderId="49" xfId="0" applyBorder="1" applyAlignment="1">
      <alignment wrapText="1"/>
    </xf>
    <xf numFmtId="0" fontId="0" fillId="0" borderId="47" xfId="0" applyBorder="1" applyAlignment="1">
      <alignment wrapText="1"/>
    </xf>
    <xf numFmtId="0" fontId="0" fillId="3" borderId="26" xfId="0" applyFill="1" applyBorder="1" applyAlignment="1">
      <alignment wrapText="1"/>
    </xf>
    <xf numFmtId="0" fontId="0" fillId="0" borderId="31" xfId="0" applyBorder="1" applyAlignment="1">
      <alignment horizontal="right" wrapText="1"/>
    </xf>
    <xf numFmtId="0" fontId="0" fillId="0" borderId="37" xfId="0" applyBorder="1" applyAlignment="1">
      <alignment wrapText="1"/>
    </xf>
    <xf numFmtId="0" fontId="0" fillId="3" borderId="27" xfId="0" applyFill="1" applyBorder="1" applyAlignment="1">
      <alignment wrapText="1"/>
    </xf>
    <xf numFmtId="0" fontId="0" fillId="0" borderId="50" xfId="0" applyBorder="1" applyAlignment="1">
      <alignment wrapText="1"/>
    </xf>
    <xf numFmtId="0" fontId="0" fillId="3" borderId="51" xfId="0" applyFill="1" applyBorder="1" applyAlignment="1">
      <alignment wrapText="1"/>
    </xf>
    <xf numFmtId="0" fontId="0" fillId="3" borderId="28" xfId="0" applyFill="1" applyBorder="1" applyAlignment="1">
      <alignment wrapText="1"/>
    </xf>
    <xf numFmtId="0" fontId="0" fillId="0" borderId="52" xfId="0" applyBorder="1" applyAlignment="1">
      <alignment wrapText="1"/>
    </xf>
    <xf numFmtId="11" fontId="7" fillId="0" borderId="52" xfId="0" applyNumberFormat="1" applyFont="1" applyBorder="1" applyAlignment="1">
      <alignment horizontal="right" wrapText="1"/>
    </xf>
    <xf numFmtId="11" fontId="7" fillId="0" borderId="53" xfId="0" applyNumberFormat="1" applyFont="1" applyBorder="1" applyAlignment="1">
      <alignment horizontal="right" wrapText="1"/>
    </xf>
    <xf numFmtId="11" fontId="0" fillId="0" borderId="13" xfId="0" applyNumberFormat="1" applyBorder="1" applyAlignment="1">
      <alignment horizontal="right" wrapText="1"/>
    </xf>
    <xf numFmtId="11" fontId="0" fillId="0" borderId="47" xfId="0" applyNumberFormat="1" applyBorder="1" applyAlignment="1">
      <alignment horizontal="right" wrapText="1"/>
    </xf>
    <xf numFmtId="0" fontId="0" fillId="0" borderId="6" xfId="0" applyBorder="1" applyAlignment="1">
      <alignment horizontal="center" wrapText="1"/>
    </xf>
    <xf numFmtId="11" fontId="0" fillId="0" borderId="40" xfId="0" applyNumberFormat="1" applyBorder="1"/>
    <xf numFmtId="11" fontId="0" fillId="0" borderId="30" xfId="0" applyNumberFormat="1" applyBorder="1"/>
    <xf numFmtId="0" fontId="0" fillId="0" borderId="39" xfId="0" applyBorder="1" applyAlignment="1">
      <alignment wrapText="1"/>
    </xf>
    <xf numFmtId="0" fontId="0" fillId="0" borderId="40" xfId="0" applyBorder="1" applyAlignment="1">
      <alignment wrapText="1"/>
    </xf>
    <xf numFmtId="11" fontId="0" fillId="0" borderId="40" xfId="0" applyNumberFormat="1" applyBorder="1" applyAlignment="1">
      <alignment horizontal="right" wrapText="1"/>
    </xf>
    <xf numFmtId="0" fontId="0" fillId="0" borderId="40" xfId="0" applyBorder="1" applyAlignment="1">
      <alignment horizontal="right" wrapText="1"/>
    </xf>
    <xf numFmtId="0" fontId="1" fillId="0" borderId="0" xfId="0" applyFont="1"/>
    <xf numFmtId="0" fontId="0" fillId="0" borderId="20" xfId="0" applyBorder="1"/>
    <xf numFmtId="0" fontId="8" fillId="0" borderId="25" xfId="0" applyFont="1" applyBorder="1"/>
    <xf numFmtId="0" fontId="8" fillId="0" borderId="0" xfId="0" applyFont="1"/>
    <xf numFmtId="0" fontId="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0" fillId="0" borderId="57" xfId="0" applyBorder="1" applyAlignment="1">
      <alignment wrapText="1"/>
    </xf>
    <xf numFmtId="11" fontId="0" fillId="0" borderId="24" xfId="0" applyNumberFormat="1" applyBorder="1"/>
    <xf numFmtId="0" fontId="0" fillId="3" borderId="18" xfId="0" applyFill="1" applyBorder="1" applyAlignment="1">
      <alignment wrapText="1"/>
    </xf>
    <xf numFmtId="0" fontId="0" fillId="0" borderId="60" xfId="0" applyBorder="1" applyAlignment="1">
      <alignment wrapText="1"/>
    </xf>
    <xf numFmtId="0" fontId="0" fillId="0" borderId="52" xfId="0" applyBorder="1" applyAlignment="1">
      <alignment vertical="center"/>
    </xf>
    <xf numFmtId="0" fontId="0" fillId="0" borderId="53" xfId="0" applyBorder="1" applyAlignment="1">
      <alignment wrapText="1"/>
    </xf>
    <xf numFmtId="0" fontId="0" fillId="0" borderId="26" xfId="0" applyBorder="1" applyAlignment="1">
      <alignment wrapText="1"/>
    </xf>
    <xf numFmtId="0" fontId="6" fillId="0" borderId="31" xfId="0" applyFont="1" applyBorder="1" applyAlignment="1">
      <alignment horizontal="center" vertical="center"/>
    </xf>
    <xf numFmtId="0" fontId="0" fillId="0" borderId="27" xfId="0" applyBorder="1" applyAlignment="1">
      <alignment wrapText="1"/>
    </xf>
    <xf numFmtId="0" fontId="0" fillId="0" borderId="57" xfId="0" applyBorder="1" applyAlignment="1">
      <alignment horizontal="center" vertical="center" wrapText="1"/>
    </xf>
    <xf numFmtId="11" fontId="3" fillId="0" borderId="27" xfId="0" applyNumberFormat="1" applyFont="1" applyBorder="1" applyAlignment="1">
      <alignment horizontal="right" wrapText="1"/>
    </xf>
    <xf numFmtId="0" fontId="3" fillId="0" borderId="27" xfId="0" applyFont="1" applyBorder="1" applyAlignment="1">
      <alignment horizontal="right" wrapText="1"/>
    </xf>
    <xf numFmtId="0" fontId="0" fillId="0" borderId="58" xfId="0" applyBorder="1" applyAlignment="1">
      <alignment wrapText="1"/>
    </xf>
    <xf numFmtId="0" fontId="0" fillId="0" borderId="54" xfId="0" applyBorder="1" applyAlignment="1">
      <alignment wrapText="1"/>
    </xf>
    <xf numFmtId="0" fontId="0" fillId="0" borderId="19" xfId="0" applyBorder="1" applyAlignment="1">
      <alignment horizontal="right" wrapText="1"/>
    </xf>
    <xf numFmtId="0" fontId="3" fillId="0" borderId="62" xfId="0" applyFont="1" applyBorder="1" applyAlignment="1">
      <alignment horizontal="right" wrapText="1"/>
    </xf>
    <xf numFmtId="0" fontId="0" fillId="0" borderId="63" xfId="0" applyBorder="1" applyAlignment="1">
      <alignment wrapText="1"/>
    </xf>
    <xf numFmtId="0" fontId="0" fillId="0" borderId="64" xfId="0" applyBorder="1" applyAlignment="1">
      <alignment wrapText="1"/>
    </xf>
    <xf numFmtId="11" fontId="7" fillId="0" borderId="64" xfId="0" applyNumberFormat="1" applyFont="1" applyBorder="1" applyAlignment="1">
      <alignment horizontal="right" wrapText="1"/>
    </xf>
    <xf numFmtId="0" fontId="0" fillId="0" borderId="30" xfId="0" applyBorder="1" applyAlignment="1">
      <alignment wrapText="1"/>
    </xf>
    <xf numFmtId="0" fontId="0" fillId="0" borderId="34" xfId="0" applyBorder="1" applyAlignment="1">
      <alignment wrapText="1"/>
    </xf>
    <xf numFmtId="0" fontId="0" fillId="0" borderId="13" xfId="0" applyBorder="1" applyAlignment="1">
      <alignment horizontal="right" wrapText="1"/>
    </xf>
    <xf numFmtId="2" fontId="4" fillId="0" borderId="59" xfId="0" applyNumberFormat="1" applyFont="1" applyBorder="1" applyAlignment="1">
      <alignment horizontal="right" wrapText="1"/>
    </xf>
    <xf numFmtId="11" fontId="0" fillId="0" borderId="27" xfId="0" applyNumberFormat="1" applyBorder="1" applyAlignment="1">
      <alignment horizontal="right" wrapText="1"/>
    </xf>
    <xf numFmtId="9" fontId="0" fillId="0" borderId="57" xfId="0" applyNumberFormat="1" applyBorder="1" applyAlignment="1">
      <alignment horizontal="right" wrapText="1"/>
    </xf>
    <xf numFmtId="11" fontId="4" fillId="0" borderId="58" xfId="0" applyNumberFormat="1" applyFont="1" applyBorder="1" applyAlignment="1">
      <alignment horizontal="right" wrapText="1"/>
    </xf>
    <xf numFmtId="9" fontId="4" fillId="0" borderId="55" xfId="0" applyNumberFormat="1" applyFont="1" applyBorder="1" applyAlignment="1">
      <alignment horizontal="right" wrapText="1"/>
    </xf>
    <xf numFmtId="9" fontId="0" fillId="0" borderId="0" xfId="1" applyFont="1"/>
    <xf numFmtId="164" fontId="0" fillId="0" borderId="0" xfId="0" applyNumberFormat="1"/>
    <xf numFmtId="0" fontId="0" fillId="0" borderId="0" xfId="0" quotePrefix="1" applyAlignment="1">
      <alignment horizontal="left"/>
    </xf>
    <xf numFmtId="11" fontId="0" fillId="0" borderId="5" xfId="0" applyNumberFormat="1" applyBorder="1" applyAlignment="1">
      <alignment wrapText="1"/>
    </xf>
    <xf numFmtId="2" fontId="0" fillId="0" borderId="0" xfId="0" applyNumberFormat="1"/>
    <xf numFmtId="164" fontId="8" fillId="0" borderId="0" xfId="0" applyNumberFormat="1" applyFont="1"/>
    <xf numFmtId="0" fontId="8" fillId="0" borderId="0" xfId="0" applyFont="1" applyAlignment="1">
      <alignment vertical="center"/>
    </xf>
    <xf numFmtId="0" fontId="14" fillId="0" borderId="0" xfId="0" applyFont="1" applyAlignment="1">
      <alignment horizontal="left" vertical="center" indent="6"/>
    </xf>
    <xf numFmtId="9" fontId="0" fillId="0" borderId="0" xfId="0" applyNumberFormat="1"/>
    <xf numFmtId="11" fontId="4" fillId="0" borderId="0" xfId="0" applyNumberFormat="1" applyFont="1" applyAlignment="1">
      <alignment horizontal="right" wrapText="1"/>
    </xf>
    <xf numFmtId="9" fontId="4" fillId="0" borderId="0" xfId="0" applyNumberFormat="1" applyFont="1" applyAlignment="1">
      <alignment horizontal="right" wrapText="1"/>
    </xf>
    <xf numFmtId="2" fontId="4" fillId="0" borderId="0" xfId="0" applyNumberFormat="1" applyFont="1" applyAlignment="1">
      <alignment horizontal="right" wrapText="1"/>
    </xf>
    <xf numFmtId="0" fontId="4" fillId="0" borderId="58" xfId="0" applyFont="1" applyBorder="1" applyAlignment="1">
      <alignment wrapText="1"/>
    </xf>
    <xf numFmtId="0" fontId="0" fillId="0" borderId="72" xfId="0" applyBorder="1" applyAlignment="1">
      <alignment wrapText="1"/>
    </xf>
    <xf numFmtId="11" fontId="0" fillId="0" borderId="0" xfId="0" applyNumberFormat="1" applyAlignment="1">
      <alignment horizontal="right" wrapText="1"/>
    </xf>
    <xf numFmtId="0" fontId="3" fillId="0" borderId="0" xfId="0" applyFont="1" applyAlignment="1">
      <alignment horizontal="right" wrapText="1"/>
    </xf>
    <xf numFmtId="11" fontId="3" fillId="0" borderId="73" xfId="0" applyNumberFormat="1" applyFont="1" applyBorder="1" applyAlignment="1">
      <alignment horizontal="right" wrapText="1"/>
    </xf>
    <xf numFmtId="0" fontId="3" fillId="0" borderId="24" xfId="0" applyFont="1" applyBorder="1" applyAlignment="1">
      <alignment horizontal="right" wrapText="1"/>
    </xf>
    <xf numFmtId="11" fontId="0" fillId="0" borderId="24" xfId="0" applyNumberFormat="1" applyBorder="1" applyAlignment="1">
      <alignment horizontal="right" wrapText="1"/>
    </xf>
    <xf numFmtId="11" fontId="7" fillId="0" borderId="74" xfId="0" applyNumberFormat="1" applyFont="1" applyBorder="1" applyAlignment="1">
      <alignment horizontal="right" wrapText="1"/>
    </xf>
    <xf numFmtId="11" fontId="0" fillId="0" borderId="28" xfId="0" applyNumberFormat="1" applyBorder="1" applyAlignment="1">
      <alignment horizontal="right" wrapText="1"/>
    </xf>
    <xf numFmtId="0" fontId="0" fillId="0" borderId="75" xfId="0" applyBorder="1" applyAlignment="1">
      <alignment wrapText="1"/>
    </xf>
    <xf numFmtId="0" fontId="3" fillId="0" borderId="76" xfId="0" applyFont="1" applyBorder="1" applyAlignment="1">
      <alignment horizontal="right" wrapText="1"/>
    </xf>
    <xf numFmtId="0" fontId="0" fillId="0" borderId="36" xfId="0" applyBorder="1"/>
    <xf numFmtId="0" fontId="0" fillId="0" borderId="29" xfId="0" applyBorder="1"/>
    <xf numFmtId="0" fontId="0" fillId="0" borderId="16" xfId="0" applyBorder="1"/>
    <xf numFmtId="0" fontId="0" fillId="0" borderId="60" xfId="0" applyBorder="1"/>
    <xf numFmtId="0" fontId="0" fillId="0" borderId="26" xfId="0" applyBorder="1"/>
    <xf numFmtId="0" fontId="0" fillId="0" borderId="37" xfId="0" applyBorder="1"/>
    <xf numFmtId="0" fontId="0" fillId="0" borderId="1" xfId="0" applyBorder="1"/>
    <xf numFmtId="0" fontId="0" fillId="0" borderId="27" xfId="0" applyBorder="1"/>
    <xf numFmtId="0" fontId="0" fillId="0" borderId="57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31" xfId="0" applyBorder="1"/>
    <xf numFmtId="0" fontId="0" fillId="0" borderId="45" xfId="0" applyBorder="1"/>
    <xf numFmtId="0" fontId="0" fillId="0" borderId="52" xfId="0" applyBorder="1"/>
    <xf numFmtId="0" fontId="0" fillId="0" borderId="64" xfId="0" applyBorder="1"/>
    <xf numFmtId="0" fontId="0" fillId="0" borderId="57" xfId="0" applyBorder="1"/>
    <xf numFmtId="0" fontId="0" fillId="0" borderId="13" xfId="0" applyBorder="1"/>
    <xf numFmtId="0" fontId="0" fillId="0" borderId="38" xfId="0" applyBorder="1"/>
    <xf numFmtId="0" fontId="0" fillId="0" borderId="53" xfId="0" applyBorder="1"/>
    <xf numFmtId="0" fontId="0" fillId="2" borderId="18" xfId="0" applyFill="1" applyBorder="1" applyAlignment="1">
      <alignment vertical="center"/>
    </xf>
    <xf numFmtId="0" fontId="5" fillId="0" borderId="19" xfId="0" applyFont="1" applyBorder="1"/>
    <xf numFmtId="0" fontId="5" fillId="0" borderId="19" xfId="0" applyFont="1" applyBorder="1" applyAlignment="1">
      <alignment horizontal="right"/>
    </xf>
    <xf numFmtId="0" fontId="5" fillId="0" borderId="20" xfId="0" applyFont="1" applyBorder="1"/>
    <xf numFmtId="11" fontId="3" fillId="0" borderId="27" xfId="0" applyNumberFormat="1" applyFont="1" applyBorder="1" applyAlignment="1">
      <alignment horizontal="right"/>
    </xf>
    <xf numFmtId="11" fontId="0" fillId="0" borderId="13" xfId="0" applyNumberFormat="1" applyBorder="1" applyAlignment="1">
      <alignment horizontal="right"/>
    </xf>
    <xf numFmtId="9" fontId="0" fillId="0" borderId="57" xfId="0" applyNumberFormat="1" applyBorder="1" applyAlignment="1">
      <alignment horizontal="right"/>
    </xf>
    <xf numFmtId="0" fontId="0" fillId="2" borderId="21" xfId="0" applyFill="1" applyBorder="1" applyAlignment="1">
      <alignment vertical="center"/>
    </xf>
    <xf numFmtId="0" fontId="0" fillId="0" borderId="0" xfId="0" applyAlignment="1">
      <alignment horizontal="right"/>
    </xf>
    <xf numFmtId="0" fontId="3" fillId="0" borderId="27" xfId="0" applyFont="1" applyBorder="1" applyAlignment="1">
      <alignment horizontal="right"/>
    </xf>
    <xf numFmtId="0" fontId="0" fillId="0" borderId="13" xfId="0" applyBorder="1" applyAlignment="1">
      <alignment horizontal="right"/>
    </xf>
    <xf numFmtId="0" fontId="0" fillId="2" borderId="23" xfId="0" applyFill="1" applyBorder="1" applyAlignment="1">
      <alignment vertical="center"/>
    </xf>
    <xf numFmtId="0" fontId="0" fillId="0" borderId="24" xfId="0" applyBorder="1" applyAlignment="1">
      <alignment horizontal="right"/>
    </xf>
    <xf numFmtId="0" fontId="0" fillId="0" borderId="19" xfId="0" applyBorder="1" applyAlignment="1">
      <alignment horizontal="right"/>
    </xf>
    <xf numFmtId="0" fontId="5" fillId="0" borderId="0" xfId="0" applyFont="1" applyAlignment="1">
      <alignment horizontal="right"/>
    </xf>
    <xf numFmtId="0" fontId="5" fillId="0" borderId="22" xfId="0" applyFont="1" applyBorder="1"/>
    <xf numFmtId="0" fontId="0" fillId="3" borderId="23" xfId="0" applyFill="1" applyBorder="1"/>
    <xf numFmtId="11" fontId="3" fillId="0" borderId="73" xfId="0" applyNumberFormat="1" applyFont="1" applyBorder="1" applyAlignment="1">
      <alignment horizontal="right"/>
    </xf>
    <xf numFmtId="11" fontId="0" fillId="0" borderId="24" xfId="0" applyNumberFormat="1" applyBorder="1" applyAlignment="1">
      <alignment horizontal="right"/>
    </xf>
    <xf numFmtId="11" fontId="7" fillId="0" borderId="74" xfId="0" applyNumberFormat="1" applyFont="1" applyBorder="1" applyAlignment="1">
      <alignment horizontal="right"/>
    </xf>
    <xf numFmtId="11" fontId="0" fillId="0" borderId="28" xfId="0" applyNumberFormat="1" applyBorder="1" applyAlignment="1">
      <alignment horizontal="right"/>
    </xf>
    <xf numFmtId="9" fontId="0" fillId="0" borderId="75" xfId="0" applyNumberFormat="1" applyBorder="1" applyAlignment="1">
      <alignment horizontal="right"/>
    </xf>
    <xf numFmtId="0" fontId="0" fillId="0" borderId="47" xfId="0" applyBorder="1"/>
    <xf numFmtId="0" fontId="0" fillId="0" borderId="75" xfId="0" applyBorder="1"/>
    <xf numFmtId="0" fontId="4" fillId="0" borderId="58" xfId="0" applyFont="1" applyBorder="1"/>
    <xf numFmtId="0" fontId="0" fillId="0" borderId="54" xfId="0" applyBorder="1"/>
    <xf numFmtId="0" fontId="0" fillId="0" borderId="63" xfId="0" applyBorder="1"/>
    <xf numFmtId="0" fontId="0" fillId="4" borderId="0" xfId="0" applyFill="1" applyAlignment="1">
      <alignment horizontal="right"/>
    </xf>
    <xf numFmtId="0" fontId="0" fillId="4" borderId="24" xfId="0" applyFill="1" applyBorder="1" applyAlignment="1">
      <alignment horizontal="right"/>
    </xf>
    <xf numFmtId="0" fontId="3" fillId="4" borderId="24" xfId="0" applyFont="1" applyFill="1" applyBorder="1" applyAlignment="1">
      <alignment horizontal="right" wrapText="1"/>
    </xf>
    <xf numFmtId="11" fontId="0" fillId="0" borderId="61" xfId="0" applyNumberFormat="1" applyBorder="1" applyAlignment="1">
      <alignment wrapText="1"/>
    </xf>
    <xf numFmtId="0" fontId="3" fillId="0" borderId="14" xfId="0" applyFont="1" applyBorder="1" applyAlignment="1">
      <alignment wrapText="1"/>
    </xf>
    <xf numFmtId="11" fontId="4" fillId="0" borderId="0" xfId="0" applyNumberFormat="1" applyFont="1"/>
    <xf numFmtId="0" fontId="5" fillId="0" borderId="16" xfId="0" applyFont="1" applyBorder="1" applyAlignment="1">
      <alignment wrapText="1"/>
    </xf>
    <xf numFmtId="0" fontId="5" fillId="0" borderId="16" xfId="0" applyFont="1" applyBorder="1" applyAlignment="1">
      <alignment horizontal="right" wrapText="1"/>
    </xf>
    <xf numFmtId="0" fontId="5" fillId="0" borderId="60" xfId="0" applyFont="1" applyBorder="1" applyAlignment="1">
      <alignment wrapText="1"/>
    </xf>
    <xf numFmtId="0" fontId="0" fillId="0" borderId="77" xfId="0" applyBorder="1" applyAlignment="1">
      <alignment wrapText="1"/>
    </xf>
    <xf numFmtId="0" fontId="0" fillId="0" borderId="78" xfId="0" applyBorder="1" applyAlignment="1">
      <alignment wrapText="1"/>
    </xf>
    <xf numFmtId="0" fontId="0" fillId="0" borderId="79" xfId="0" applyBorder="1" applyAlignment="1">
      <alignment wrapText="1"/>
    </xf>
    <xf numFmtId="0" fontId="5" fillId="0" borderId="26" xfId="0" applyFont="1" applyBorder="1" applyAlignment="1">
      <alignment wrapText="1"/>
    </xf>
    <xf numFmtId="0" fontId="0" fillId="0" borderId="80" xfId="0" applyBorder="1" applyAlignment="1">
      <alignment wrapText="1"/>
    </xf>
    <xf numFmtId="0" fontId="5" fillId="2" borderId="28" xfId="0" applyFont="1" applyFill="1" applyBorder="1" applyAlignment="1">
      <alignment vertical="center"/>
    </xf>
    <xf numFmtId="0" fontId="0" fillId="2" borderId="38" xfId="0" applyFill="1" applyBorder="1" applyAlignment="1">
      <alignment wrapText="1"/>
    </xf>
    <xf numFmtId="0" fontId="0" fillId="2" borderId="53" xfId="0" applyFill="1" applyBorder="1" applyAlignment="1">
      <alignment wrapText="1"/>
    </xf>
    <xf numFmtId="0" fontId="0" fillId="0" borderId="28" xfId="0" applyBorder="1" applyAlignment="1">
      <alignment wrapText="1"/>
    </xf>
    <xf numFmtId="0" fontId="0" fillId="0" borderId="44" xfId="0" applyBorder="1" applyAlignment="1">
      <alignment horizontal="center" wrapText="1"/>
    </xf>
    <xf numFmtId="0" fontId="5" fillId="0" borderId="16" xfId="0" applyFont="1" applyBorder="1"/>
    <xf numFmtId="0" fontId="5" fillId="0" borderId="16" xfId="0" applyFont="1" applyBorder="1" applyAlignment="1">
      <alignment horizontal="right"/>
    </xf>
    <xf numFmtId="0" fontId="5" fillId="0" borderId="60" xfId="0" applyFont="1" applyBorder="1"/>
    <xf numFmtId="0" fontId="0" fillId="0" borderId="77" xfId="0" applyBorder="1"/>
    <xf numFmtId="0" fontId="0" fillId="0" borderId="78" xfId="0" applyBorder="1"/>
    <xf numFmtId="0" fontId="0" fillId="0" borderId="50" xfId="0" applyBorder="1"/>
    <xf numFmtId="0" fontId="0" fillId="0" borderId="79" xfId="0" applyBorder="1"/>
    <xf numFmtId="0" fontId="5" fillId="0" borderId="26" xfId="0" applyFont="1" applyBorder="1"/>
    <xf numFmtId="0" fontId="0" fillId="0" borderId="80" xfId="0" applyBorder="1"/>
    <xf numFmtId="0" fontId="0" fillId="2" borderId="38" xfId="0" applyFill="1" applyBorder="1"/>
    <xf numFmtId="0" fontId="0" fillId="2" borderId="53" xfId="0" applyFill="1" applyBorder="1"/>
    <xf numFmtId="0" fontId="0" fillId="0" borderId="28" xfId="0" applyBorder="1"/>
    <xf numFmtId="0" fontId="0" fillId="0" borderId="44" xfId="0" applyBorder="1" applyAlignment="1">
      <alignment horizontal="center"/>
    </xf>
    <xf numFmtId="0" fontId="0" fillId="0" borderId="44" xfId="0" applyBorder="1"/>
    <xf numFmtId="0" fontId="0" fillId="0" borderId="16" xfId="0" applyBorder="1" applyAlignment="1">
      <alignment horizontal="right"/>
    </xf>
    <xf numFmtId="0" fontId="4" fillId="0" borderId="68" xfId="0" applyFont="1" applyBorder="1" applyAlignment="1">
      <alignment horizontal="center" vertical="center" wrapText="1"/>
    </xf>
    <xf numFmtId="0" fontId="4" fillId="0" borderId="69" xfId="0" applyFont="1" applyBorder="1" applyAlignment="1">
      <alignment horizontal="center" vertical="center" wrapText="1"/>
    </xf>
    <xf numFmtId="0" fontId="4" fillId="0" borderId="70" xfId="0" applyFont="1" applyBorder="1" applyAlignment="1">
      <alignment horizontal="center" vertical="center" wrapText="1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8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2" xfId="0" applyBorder="1" applyAlignment="1">
      <alignment horizontal="center"/>
    </xf>
    <xf numFmtId="0" fontId="0" fillId="2" borderId="56" xfId="0" applyFill="1" applyBorder="1" applyAlignment="1">
      <alignment vertical="center"/>
    </xf>
    <xf numFmtId="0" fontId="0" fillId="2" borderId="58" xfId="0" applyFill="1" applyBorder="1" applyAlignment="1">
      <alignment vertical="center"/>
    </xf>
    <xf numFmtId="0" fontId="4" fillId="0" borderId="68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0" fillId="0" borderId="65" xfId="0" applyBorder="1" applyAlignment="1">
      <alignment horizontal="center" wrapText="1"/>
    </xf>
    <xf numFmtId="0" fontId="0" fillId="0" borderId="66" xfId="0" applyBorder="1" applyAlignment="1">
      <alignment horizontal="center" wrapText="1"/>
    </xf>
    <xf numFmtId="0" fontId="0" fillId="0" borderId="81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82" xfId="0" applyBorder="1" applyAlignment="1">
      <alignment horizontal="center" wrapText="1"/>
    </xf>
    <xf numFmtId="0" fontId="0" fillId="2" borderId="56" xfId="0" applyFill="1" applyBorder="1" applyAlignment="1">
      <alignment vertical="center" wrapText="1"/>
    </xf>
    <xf numFmtId="0" fontId="0" fillId="2" borderId="58" xfId="0" applyFill="1" applyBorder="1" applyAlignment="1">
      <alignment vertical="center" wrapText="1"/>
    </xf>
    <xf numFmtId="0" fontId="4" fillId="0" borderId="7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67" xfId="0" applyBorder="1" applyAlignment="1">
      <alignment horizontal="center" wrapText="1"/>
    </xf>
    <xf numFmtId="0" fontId="0" fillId="2" borderId="7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0" fillId="2" borderId="33" xfId="0" applyFill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CO</a:t>
            </a:r>
            <a:r>
              <a:rPr lang="fr-CH" baseline="-25000"/>
              <a:t>2</a:t>
            </a:r>
            <a:r>
              <a:rPr lang="fr-CH"/>
              <a:t> Life</a:t>
            </a:r>
            <a:r>
              <a:rPr lang="fr-CH" baseline="0"/>
              <a:t> Cycle Inventory for hydrogen production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H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Corrections!$B$66</c:f>
              <c:strCache>
                <c:ptCount val="1"/>
                <c:pt idx="0">
                  <c:v>Stack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Corrections!$N$66</c:f>
              <c:numCache>
                <c:formatCode>0.00E+00</c:formatCode>
                <c:ptCount val="1"/>
                <c:pt idx="0">
                  <c:v>4.7767978148912663E-11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E9-484E-9A7B-4A7EBA69C0FD}"/>
            </c:ext>
          </c:extLst>
        </c:ser>
        <c:ser>
          <c:idx val="4"/>
          <c:order val="4"/>
          <c:tx>
            <c:strRef>
              <c:f>Corrections!$B$71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Corrections!$N$71</c:f>
              <c:numCache>
                <c:formatCode>0.00E+00</c:formatCode>
                <c:ptCount val="1"/>
                <c:pt idx="0">
                  <c:v>0.11499999999999999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E9-484E-9A7B-4A7EBA69C0FD}"/>
            </c:ext>
          </c:extLst>
        </c:ser>
        <c:ser>
          <c:idx val="5"/>
          <c:order val="5"/>
          <c:tx>
            <c:strRef>
              <c:f>Corrections!$B$72</c:f>
              <c:strCache>
                <c:ptCount val="1"/>
                <c:pt idx="0">
                  <c:v>Bop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Corrections!$N$72</c:f>
              <c:numCache>
                <c:formatCode>0.00</c:formatCode>
                <c:ptCount val="1"/>
                <c:pt idx="0">
                  <c:v>1.1619863013698629E-3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E9-484E-9A7B-4A7EBA69C0FD}"/>
            </c:ext>
          </c:extLst>
        </c:ser>
        <c:ser>
          <c:idx val="7"/>
          <c:order val="6"/>
          <c:tx>
            <c:strRef>
              <c:f>Corrections!$B$73</c:f>
              <c:strCache>
                <c:ptCount val="1"/>
                <c:pt idx="0">
                  <c:v>EoL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Corrections!$N$73</c:f>
              <c:numCache>
                <c:formatCode>0.00E+00</c:formatCode>
                <c:ptCount val="1"/>
                <c:pt idx="0">
                  <c:v>4.6917808219178081E-7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7E9-484E-9A7B-4A7EBA69C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4728368"/>
        <c:axId val="4547276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Corrections!$B$67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Corrections!$N$67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7E9-484E-9A7B-4A7EBA69C0FD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Corrections!$B$68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Corrections!$N$68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7E9-484E-9A7B-4A7EBA69C0FD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Corrections!$B$70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Corrections!$N$70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7E9-484E-9A7B-4A7EBA69C0FD}"/>
                  </c:ext>
                </c:extLst>
              </c15:ser>
            </c15:filteredBarSeries>
          </c:ext>
        </c:extLst>
      </c:barChart>
      <c:catAx>
        <c:axId val="4547283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4727648"/>
        <c:crosses val="autoZero"/>
        <c:auto val="1"/>
        <c:lblAlgn val="ctr"/>
        <c:lblOffset val="100"/>
        <c:noMultiLvlLbl val="0"/>
      </c:catAx>
      <c:valAx>
        <c:axId val="45472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CO</a:t>
                </a:r>
                <a:r>
                  <a:rPr lang="fr-CH" baseline="-25000"/>
                  <a:t>2</a:t>
                </a:r>
                <a:r>
                  <a:rPr lang="fr-CH"/>
                  <a:t>/kg_H</a:t>
                </a:r>
                <a:r>
                  <a:rPr lang="fr-CH" baseline="-25000"/>
                  <a:t>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472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CO</a:t>
            </a:r>
            <a:r>
              <a:rPr lang="fr-CH" baseline="-25000"/>
              <a:t>2</a:t>
            </a:r>
            <a:r>
              <a:rPr lang="fr-CH"/>
              <a:t>/Unit</a:t>
            </a:r>
            <a:r>
              <a:rPr lang="fr-CH" baseline="0"/>
              <a:t> of Stack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H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tx2">
                <a:lumMod val="90000"/>
                <a:lumOff val="10000"/>
              </a:schemeClr>
            </a:solidFill>
          </c:spPr>
          <c:dPt>
            <c:idx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2E-40A0-8799-9856A4A047D0}"/>
              </c:ext>
            </c:extLst>
          </c:dPt>
          <c:dPt>
            <c:idx val="1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64-49D7-B20A-977569C3469A}"/>
              </c:ext>
            </c:extLst>
          </c:dPt>
          <c:dPt>
            <c:idx val="2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82E-40A0-8799-9856A4A047D0}"/>
              </c:ext>
            </c:extLst>
          </c:dPt>
          <c:dPt>
            <c:idx val="3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184-432B-A80A-56EB0922D603}"/>
              </c:ext>
            </c:extLst>
          </c:dPt>
          <c:cat>
            <c:strRef>
              <c:f>Corrections!$B$74:$B$77</c:f>
              <c:strCache>
                <c:ptCount val="4"/>
                <c:pt idx="0">
                  <c:v>Nickel</c:v>
                </c:pt>
                <c:pt idx="1">
                  <c:v>Zircone</c:v>
                </c:pt>
                <c:pt idx="2">
                  <c:v>Lanthane</c:v>
                </c:pt>
                <c:pt idx="3">
                  <c:v>Acier</c:v>
                </c:pt>
              </c:strCache>
            </c:strRef>
          </c:cat>
          <c:val>
            <c:numRef>
              <c:f>Corrections!$M$74:$M$77</c:f>
              <c:numCache>
                <c:formatCode>0%</c:formatCode>
                <c:ptCount val="4"/>
                <c:pt idx="0">
                  <c:v>0.36010475774770839</c:v>
                </c:pt>
                <c:pt idx="1">
                  <c:v>2.400698384984723E-2</c:v>
                </c:pt>
                <c:pt idx="2">
                  <c:v>8.1187254474028789E-2</c:v>
                </c:pt>
                <c:pt idx="3">
                  <c:v>0.53470100392841557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E-40A0-8799-9856A4A04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Corrections!$B$165</c:f>
              <c:strCache>
                <c:ptCount val="1"/>
                <c:pt idx="0">
                  <c:v>Eau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Corrections!$P$165</c:f>
              <c:numCache>
                <c:formatCode>0.00E+00</c:formatCode>
                <c:ptCount val="1"/>
                <c:pt idx="0">
                  <c:v>3.6300000000000004E-4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39-4719-AA28-278741975F8C}"/>
            </c:ext>
          </c:extLst>
        </c:ser>
        <c:ser>
          <c:idx val="1"/>
          <c:order val="1"/>
          <c:tx>
            <c:strRef>
              <c:f>Corrections!$B$166</c:f>
              <c:strCache>
                <c:ptCount val="1"/>
                <c:pt idx="0">
                  <c:v>Sucre de Canne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Corrections!$P$166</c:f>
              <c:numCache>
                <c:formatCode>0.00E+00</c:formatCode>
                <c:ptCount val="1"/>
                <c:pt idx="0">
                  <c:v>2.5049999999999999E-2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E39-4719-AA28-278741975F8C}"/>
            </c:ext>
          </c:extLst>
        </c:ser>
        <c:ser>
          <c:idx val="2"/>
          <c:order val="2"/>
          <c:tx>
            <c:strRef>
              <c:f>Corrections!$B$167</c:f>
              <c:strCache>
                <c:ptCount val="1"/>
                <c:pt idx="0">
                  <c:v>Mise en décharge 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Corrections!$P$167</c:f>
              <c:numCache>
                <c:formatCode>0.00E+00</c:formatCode>
                <c:ptCount val="1"/>
                <c:pt idx="0">
                  <c:v>1.82E-3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E39-4719-AA28-278741975F8C}"/>
            </c:ext>
          </c:extLst>
        </c:ser>
        <c:ser>
          <c:idx val="3"/>
          <c:order val="3"/>
          <c:tx>
            <c:strRef>
              <c:f>Corrections!$B$168</c:f>
              <c:strCache>
                <c:ptCount val="1"/>
                <c:pt idx="0">
                  <c:v>Prod. Electricity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Corrections!$P$168</c:f>
              <c:numCache>
                <c:formatCode>0.00E+00</c:formatCode>
                <c:ptCount val="1"/>
                <c:pt idx="0">
                  <c:v>1.9800000000000002E-2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E39-4719-AA28-278741975F8C}"/>
            </c:ext>
          </c:extLst>
        </c:ser>
        <c:ser>
          <c:idx val="4"/>
          <c:order val="4"/>
          <c:tx>
            <c:strRef>
              <c:f>Corrections!$B$169</c:f>
              <c:strCache>
                <c:ptCount val="1"/>
                <c:pt idx="0">
                  <c:v>Recyclage Aluminium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Corrections!$P$169</c:f>
              <c:numCache>
                <c:formatCode>0.00E+00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E39-4719-AA28-278741975F8C}"/>
            </c:ext>
          </c:extLst>
        </c:ser>
        <c:ser>
          <c:idx val="5"/>
          <c:order val="5"/>
          <c:tx>
            <c:strRef>
              <c:f>Corrections!$B$170</c:f>
              <c:strCache>
                <c:ptCount val="1"/>
                <c:pt idx="0">
                  <c:v>Recyclage Aluminium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Corrections!$P$170</c:f>
              <c:numCache>
                <c:formatCode>0.00E+00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E39-4719-AA28-278741975F8C}"/>
            </c:ext>
          </c:extLst>
        </c:ser>
        <c:ser>
          <c:idx val="6"/>
          <c:order val="6"/>
          <c:tx>
            <c:strRef>
              <c:f>Corrections!$B$171</c:f>
              <c:strCache>
                <c:ptCount val="1"/>
                <c:pt idx="0">
                  <c:v>Prod Aluminium primaire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Corrections!$P$171</c:f>
              <c:numCache>
                <c:formatCode>0.00E+00</c:formatCode>
                <c:ptCount val="1"/>
                <c:pt idx="0">
                  <c:v>0.12428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E39-4719-AA28-278741975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2664504"/>
        <c:axId val="612672784"/>
      </c:barChart>
      <c:catAx>
        <c:axId val="612664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2672784"/>
        <c:crosses val="autoZero"/>
        <c:auto val="1"/>
        <c:lblAlgn val="ctr"/>
        <c:lblOffset val="100"/>
        <c:noMultiLvlLbl val="0"/>
      </c:catAx>
      <c:valAx>
        <c:axId val="61267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2664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Comparaison approches d'allocation</a:t>
            </a:r>
            <a:r>
              <a:rPr lang="en-US" baseline="0"/>
              <a:t> fin de vie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Corrections!$B$307</c:f>
              <c:strCache>
                <c:ptCount val="1"/>
                <c:pt idx="0">
                  <c:v>Sucre de Canne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Corrections!$C$305:$E$305</c:f>
              <c:strCache>
                <c:ptCount val="3"/>
                <c:pt idx="0">
                  <c:v>recycl. FdV</c:v>
                </c:pt>
                <c:pt idx="1">
                  <c:v>cut-off</c:v>
                </c:pt>
                <c:pt idx="2">
                  <c:v>100% primaire</c:v>
                </c:pt>
              </c:strCache>
            </c:strRef>
          </c:cat>
          <c:val>
            <c:numRef>
              <c:f>Corrections!$C$307:$E$307</c:f>
              <c:numCache>
                <c:formatCode>0.00E+00</c:formatCode>
                <c:ptCount val="3"/>
                <c:pt idx="0">
                  <c:v>2.5049999999999999E-2</c:v>
                </c:pt>
                <c:pt idx="1">
                  <c:v>2.5049999999999999E-2</c:v>
                </c:pt>
                <c:pt idx="2">
                  <c:v>2.5049999999999999E-2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75-426A-973D-FAFC13CD9E82}"/>
            </c:ext>
          </c:extLst>
        </c:ser>
        <c:ser>
          <c:idx val="0"/>
          <c:order val="1"/>
          <c:tx>
            <c:strRef>
              <c:f>Corrections!$B$306</c:f>
              <c:strCache>
                <c:ptCount val="1"/>
                <c:pt idx="0">
                  <c:v>Eau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Corrections!$C$305:$E$305</c:f>
              <c:strCache>
                <c:ptCount val="3"/>
                <c:pt idx="0">
                  <c:v>recycl. FdV</c:v>
                </c:pt>
                <c:pt idx="1">
                  <c:v>cut-off</c:v>
                </c:pt>
                <c:pt idx="2">
                  <c:v>100% primaire</c:v>
                </c:pt>
              </c:strCache>
            </c:strRef>
          </c:cat>
          <c:val>
            <c:numRef>
              <c:f>Corrections!$C$306:$E$306</c:f>
              <c:numCache>
                <c:formatCode>0.00E+00</c:formatCode>
                <c:ptCount val="3"/>
                <c:pt idx="0">
                  <c:v>3.6300000000000004E-4</c:v>
                </c:pt>
                <c:pt idx="1">
                  <c:v>3.6300000000000004E-4</c:v>
                </c:pt>
                <c:pt idx="2">
                  <c:v>3.6300000000000004E-4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5-426A-973D-FAFC13CD9E82}"/>
            </c:ext>
          </c:extLst>
        </c:ser>
        <c:ser>
          <c:idx val="2"/>
          <c:order val="2"/>
          <c:tx>
            <c:strRef>
              <c:f>Corrections!$B$308</c:f>
              <c:strCache>
                <c:ptCount val="1"/>
                <c:pt idx="0">
                  <c:v>Mise en décharge 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Corrections!$C$305:$E$305</c:f>
              <c:strCache>
                <c:ptCount val="3"/>
                <c:pt idx="0">
                  <c:v>recycl. FdV</c:v>
                </c:pt>
                <c:pt idx="1">
                  <c:v>cut-off</c:v>
                </c:pt>
                <c:pt idx="2">
                  <c:v>100% primaire</c:v>
                </c:pt>
              </c:strCache>
            </c:strRef>
          </c:cat>
          <c:val>
            <c:numRef>
              <c:f>Corrections!$C$308:$E$308</c:f>
              <c:numCache>
                <c:formatCode>0.00E+00</c:formatCode>
                <c:ptCount val="3"/>
                <c:pt idx="0">
                  <c:v>3.6399999999999996E-4</c:v>
                </c:pt>
                <c:pt idx="1">
                  <c:v>3.6399999999999996E-4</c:v>
                </c:pt>
                <c:pt idx="2">
                  <c:v>1.82E-3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75-426A-973D-FAFC13CD9E82}"/>
            </c:ext>
          </c:extLst>
        </c:ser>
        <c:ser>
          <c:idx val="3"/>
          <c:order val="3"/>
          <c:tx>
            <c:strRef>
              <c:f>Corrections!$B$309</c:f>
              <c:strCache>
                <c:ptCount val="1"/>
                <c:pt idx="0">
                  <c:v>Prod. Electricity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cat>
            <c:strRef>
              <c:f>Corrections!$C$305:$E$305</c:f>
              <c:strCache>
                <c:ptCount val="3"/>
                <c:pt idx="0">
                  <c:v>recycl. FdV</c:v>
                </c:pt>
                <c:pt idx="1">
                  <c:v>cut-off</c:v>
                </c:pt>
                <c:pt idx="2">
                  <c:v>100% primaire</c:v>
                </c:pt>
              </c:strCache>
            </c:strRef>
          </c:cat>
          <c:val>
            <c:numRef>
              <c:f>Corrections!$C$309:$E$309</c:f>
              <c:numCache>
                <c:formatCode>0.00E+00</c:formatCode>
                <c:ptCount val="3"/>
                <c:pt idx="0">
                  <c:v>1.9800000000000002E-2</c:v>
                </c:pt>
                <c:pt idx="1">
                  <c:v>1.9800000000000002E-2</c:v>
                </c:pt>
                <c:pt idx="2">
                  <c:v>1.9800000000000002E-2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75-426A-973D-FAFC13CD9E82}"/>
            </c:ext>
          </c:extLst>
        </c:ser>
        <c:ser>
          <c:idx val="4"/>
          <c:order val="4"/>
          <c:tx>
            <c:strRef>
              <c:f>Corrections!$B$310</c:f>
              <c:strCache>
                <c:ptCount val="1"/>
                <c:pt idx="0">
                  <c:v>Recyclage Aluminium - amont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Corrections!$C$305:$E$305</c:f>
              <c:strCache>
                <c:ptCount val="3"/>
                <c:pt idx="0">
                  <c:v>recycl. FdV</c:v>
                </c:pt>
                <c:pt idx="1">
                  <c:v>cut-off</c:v>
                </c:pt>
                <c:pt idx="2">
                  <c:v>100% primaire</c:v>
                </c:pt>
              </c:strCache>
            </c:strRef>
          </c:cat>
          <c:val>
            <c:numRef>
              <c:f>Corrections!$C$310:$E$310</c:f>
              <c:numCache>
                <c:formatCode>0.00E+00</c:formatCode>
                <c:ptCount val="3"/>
                <c:pt idx="0">
                  <c:v>0</c:v>
                </c:pt>
                <c:pt idx="1">
                  <c:v>3.2759999999999998E-3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75-426A-973D-FAFC13CD9E82}"/>
            </c:ext>
          </c:extLst>
        </c:ser>
        <c:ser>
          <c:idx val="5"/>
          <c:order val="5"/>
          <c:tx>
            <c:strRef>
              <c:f>Corrections!$B$311</c:f>
              <c:strCache>
                <c:ptCount val="1"/>
                <c:pt idx="0">
                  <c:v>Recyclage Aluminium - aval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Corrections!$C$305:$E$305</c:f>
              <c:strCache>
                <c:ptCount val="3"/>
                <c:pt idx="0">
                  <c:v>recycl. FdV</c:v>
                </c:pt>
                <c:pt idx="1">
                  <c:v>cut-off</c:v>
                </c:pt>
                <c:pt idx="2">
                  <c:v>100% primaire</c:v>
                </c:pt>
              </c:strCache>
            </c:strRef>
          </c:cat>
          <c:val>
            <c:numRef>
              <c:f>Corrections!$C$311:$E$311</c:f>
              <c:numCache>
                <c:formatCode>0.00E+00</c:formatCode>
                <c:ptCount val="3"/>
                <c:pt idx="0">
                  <c:v>6.5519999999999997E-3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75-426A-973D-FAFC13CD9E82}"/>
            </c:ext>
          </c:extLst>
        </c:ser>
        <c:ser>
          <c:idx val="6"/>
          <c:order val="6"/>
          <c:tx>
            <c:strRef>
              <c:f>Corrections!$B$312</c:f>
              <c:strCache>
                <c:ptCount val="1"/>
                <c:pt idx="0">
                  <c:v>Prod Aluminium primaire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Ref>
              <c:f>Corrections!$C$305:$E$305</c:f>
              <c:strCache>
                <c:ptCount val="3"/>
                <c:pt idx="0">
                  <c:v>recycl. FdV</c:v>
                </c:pt>
                <c:pt idx="1">
                  <c:v>cut-off</c:v>
                </c:pt>
                <c:pt idx="2">
                  <c:v>100% primaire</c:v>
                </c:pt>
              </c:strCache>
            </c:strRef>
          </c:cat>
          <c:val>
            <c:numRef>
              <c:f>Corrections!$C$312:$E$312</c:f>
              <c:numCache>
                <c:formatCode>0.00E+00</c:formatCode>
                <c:ptCount val="3"/>
                <c:pt idx="0">
                  <c:v>0.12428</c:v>
                </c:pt>
                <c:pt idx="1">
                  <c:v>7.4567999999999995E-2</c:v>
                </c:pt>
                <c:pt idx="2">
                  <c:v>0.12428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75-426A-973D-FAFC13CD9E82}"/>
            </c:ext>
          </c:extLst>
        </c:ser>
        <c:ser>
          <c:idx val="8"/>
          <c:order val="8"/>
          <c:tx>
            <c:strRef>
              <c:f>Corrections!$B$314</c:f>
              <c:strCache>
                <c:ptCount val="1"/>
                <c:pt idx="0">
                  <c:v>Aluminium primaire évité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chemeClr val="tx2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f>Corrections!$C$305:$E$305</c:f>
              <c:strCache>
                <c:ptCount val="3"/>
                <c:pt idx="0">
                  <c:v>recycl. FdV</c:v>
                </c:pt>
                <c:pt idx="1">
                  <c:v>cut-off</c:v>
                </c:pt>
                <c:pt idx="2">
                  <c:v>100% primaire</c:v>
                </c:pt>
              </c:strCache>
            </c:strRef>
          </c:cat>
          <c:val>
            <c:numRef>
              <c:f>Corrections!$C$314:$E$314</c:f>
              <c:numCache>
                <c:formatCode>General</c:formatCode>
                <c:ptCount val="3"/>
                <c:pt idx="0" formatCode="0.00E+00">
                  <c:v>-9.9423999999999998E-2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E75-426A-973D-FAFC13CD9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0676928"/>
        <c:axId val="1100678008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Corrections!$B$313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Corrections!$C$305:$E$305</c15:sqref>
                        </c15:formulaRef>
                      </c:ext>
                    </c:extLst>
                    <c:strCache>
                      <c:ptCount val="3"/>
                      <c:pt idx="0">
                        <c:v>recycl. FdV</c:v>
                      </c:pt>
                      <c:pt idx="1">
                        <c:v>cut-off</c:v>
                      </c:pt>
                      <c:pt idx="2">
                        <c:v>100% primaire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Corrections!$C$313:$E$313</c15:sqref>
                        </c15:formulaRef>
                      </c:ext>
                    </c:extLst>
                    <c:numCache>
                      <c:formatCode>0.00E+00</c:formatCode>
                      <c:ptCount val="3"/>
                      <c:pt idx="0">
                        <c:v>0.17640900000000001</c:v>
                      </c:pt>
                      <c:pt idx="1">
                        <c:v>0.123421</c:v>
                      </c:pt>
                      <c:pt idx="2">
                        <c:v>0.17131299999999999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4E75-426A-973D-FAFC13CD9E82}"/>
                  </c:ext>
                </c:extLst>
              </c15:ser>
            </c15:filteredBarSeries>
          </c:ext>
        </c:extLst>
      </c:barChart>
      <c:catAx>
        <c:axId val="110067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0678008"/>
        <c:crosses val="autoZero"/>
        <c:auto val="1"/>
        <c:lblAlgn val="ctr"/>
        <c:lblOffset val="100"/>
        <c:noMultiLvlLbl val="0"/>
      </c:catAx>
      <c:valAx>
        <c:axId val="1100678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067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113568</xdr:colOff>
      <xdr:row>73</xdr:row>
      <xdr:rowOff>3601</xdr:rowOff>
    </xdr:from>
    <xdr:to>
      <xdr:col>18</xdr:col>
      <xdr:colOff>1486877</xdr:colOff>
      <xdr:row>90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5AE8FB-2260-9058-E6D4-F42660922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1701098</xdr:colOff>
      <xdr:row>73</xdr:row>
      <xdr:rowOff>174017</xdr:rowOff>
    </xdr:from>
    <xdr:to>
      <xdr:col>22</xdr:col>
      <xdr:colOff>454359</xdr:colOff>
      <xdr:row>85</xdr:row>
      <xdr:rowOff>150395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757CBC-F922-5A86-B9D6-F57261B657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724647</xdr:colOff>
      <xdr:row>76</xdr:row>
      <xdr:rowOff>156883</xdr:rowOff>
    </xdr:from>
    <xdr:to>
      <xdr:col>20</xdr:col>
      <xdr:colOff>82177</xdr:colOff>
      <xdr:row>78</xdr:row>
      <xdr:rowOff>89647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615B2196-5EC9-3E09-EFAE-58EA733A1967}"/>
            </a:ext>
          </a:extLst>
        </xdr:cNvPr>
        <xdr:cNvCxnSpPr/>
      </xdr:nvCxnSpPr>
      <xdr:spPr>
        <a:xfrm flipV="1">
          <a:off x="16099118" y="15389412"/>
          <a:ext cx="1718235" cy="32123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732014</xdr:colOff>
      <xdr:row>78</xdr:row>
      <xdr:rowOff>123472</xdr:rowOff>
    </xdr:from>
    <xdr:to>
      <xdr:col>20</xdr:col>
      <xdr:colOff>171824</xdr:colOff>
      <xdr:row>81</xdr:row>
      <xdr:rowOff>134470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8E97CE6D-CEB1-48E5-824F-81309416D514}"/>
            </a:ext>
          </a:extLst>
        </xdr:cNvPr>
        <xdr:cNvCxnSpPr/>
      </xdr:nvCxnSpPr>
      <xdr:spPr>
        <a:xfrm>
          <a:off x="16130764" y="15654514"/>
          <a:ext cx="1794602" cy="61072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334211</xdr:colOff>
      <xdr:row>10</xdr:row>
      <xdr:rowOff>91908</xdr:rowOff>
    </xdr:from>
    <xdr:to>
      <xdr:col>10</xdr:col>
      <xdr:colOff>68684</xdr:colOff>
      <xdr:row>34</xdr:row>
      <xdr:rowOff>160793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FE1A03B-9CA4-866D-FE2D-B9415EECD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4211" y="1971842"/>
          <a:ext cx="9660526" cy="4486814"/>
        </a:xfrm>
        <a:prstGeom prst="rect">
          <a:avLst/>
        </a:prstGeom>
      </xdr:spPr>
    </xdr:pic>
    <xdr:clientData/>
  </xdr:twoCellAnchor>
  <xdr:twoCellAnchor>
    <xdr:from>
      <xdr:col>1</xdr:col>
      <xdr:colOff>180982</xdr:colOff>
      <xdr:row>194</xdr:row>
      <xdr:rowOff>83273</xdr:rowOff>
    </xdr:from>
    <xdr:to>
      <xdr:col>1</xdr:col>
      <xdr:colOff>1320129</xdr:colOff>
      <xdr:row>196</xdr:row>
      <xdr:rowOff>140304</xdr:rowOff>
    </xdr:to>
    <xdr:sp macro="" textlink="">
      <xdr:nvSpPr>
        <xdr:cNvPr id="39" name="Google Shape;189;p3">
          <a:extLst>
            <a:ext uri="{FF2B5EF4-FFF2-40B4-BE49-F238E27FC236}">
              <a16:creationId xmlns:a16="http://schemas.microsoft.com/office/drawing/2014/main" id="{930209EA-2076-1563-9A43-DB8D3C1D728E}"/>
            </a:ext>
          </a:extLst>
        </xdr:cNvPr>
        <xdr:cNvSpPr/>
      </xdr:nvSpPr>
      <xdr:spPr>
        <a:xfrm>
          <a:off x="786674" y="35037581"/>
          <a:ext cx="1139147" cy="428261"/>
        </a:xfrm>
        <a:prstGeom prst="roundRect">
          <a:avLst>
            <a:gd name="adj" fmla="val 16667"/>
          </a:avLst>
        </a:prstGeom>
        <a:solidFill>
          <a:srgbClr val="009FBB"/>
        </a:solidFill>
        <a:ln w="9525" cap="flat" cmpd="sng">
          <a:solidFill>
            <a:srgbClr val="009EBA"/>
          </a:solidFill>
          <a:prstDash val="solid"/>
          <a:round/>
          <a:headEnd type="none" w="sm" len="sm"/>
          <a:tailEnd type="none" w="sm" len="sm"/>
        </a:ln>
        <a:effectLst>
          <a:outerShdw blurRad="40000" dist="23000" dir="5400000" rotWithShape="0">
            <a:srgbClr val="000000">
              <a:alpha val="34901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algn="ctr"/>
          <a:r>
            <a:rPr lang="fr-CA">
              <a:solidFill>
                <a:schemeClr val="lt1"/>
              </a:solidFill>
            </a:rPr>
            <a:t>Production Al primaire</a:t>
          </a:r>
          <a:endParaRPr>
            <a:solidFill>
              <a:schemeClr val="lt1"/>
            </a:solidFill>
          </a:endParaRPr>
        </a:p>
      </xdr:txBody>
    </xdr:sp>
    <xdr:clientData/>
  </xdr:twoCellAnchor>
  <xdr:twoCellAnchor>
    <xdr:from>
      <xdr:col>1</xdr:col>
      <xdr:colOff>2107921</xdr:colOff>
      <xdr:row>194</xdr:row>
      <xdr:rowOff>47697</xdr:rowOff>
    </xdr:from>
    <xdr:to>
      <xdr:col>3</xdr:col>
      <xdr:colOff>159992</xdr:colOff>
      <xdr:row>196</xdr:row>
      <xdr:rowOff>98735</xdr:rowOff>
    </xdr:to>
    <xdr:sp macro="" textlink="">
      <xdr:nvSpPr>
        <xdr:cNvPr id="40" name="Google Shape;190;p3">
          <a:extLst>
            <a:ext uri="{FF2B5EF4-FFF2-40B4-BE49-F238E27FC236}">
              <a16:creationId xmlns:a16="http://schemas.microsoft.com/office/drawing/2014/main" id="{21E32CD2-E863-D337-33BD-3BA5C00B13E1}"/>
            </a:ext>
          </a:extLst>
        </xdr:cNvPr>
        <xdr:cNvSpPr/>
      </xdr:nvSpPr>
      <xdr:spPr>
        <a:xfrm>
          <a:off x="2713613" y="35002005"/>
          <a:ext cx="1139148" cy="422268"/>
        </a:xfrm>
        <a:prstGeom prst="roundRect">
          <a:avLst>
            <a:gd name="adj" fmla="val 16667"/>
          </a:avLst>
        </a:prstGeom>
        <a:solidFill>
          <a:srgbClr val="009FBB"/>
        </a:solidFill>
        <a:ln w="9525" cap="flat" cmpd="sng">
          <a:solidFill>
            <a:srgbClr val="009EBA"/>
          </a:solidFill>
          <a:prstDash val="solid"/>
          <a:round/>
          <a:headEnd type="none" w="sm" len="sm"/>
          <a:tailEnd type="none" w="sm" len="sm"/>
        </a:ln>
        <a:effectLst>
          <a:outerShdw blurRad="40000" dist="23000" dir="5400000" rotWithShape="0">
            <a:srgbClr val="000000">
              <a:alpha val="34901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algn="ctr"/>
          <a:r>
            <a:rPr lang="fr-CA">
              <a:solidFill>
                <a:schemeClr val="lt1"/>
              </a:solidFill>
            </a:rPr>
            <a:t>Production canette</a:t>
          </a:r>
          <a:endParaRPr sz="1200"/>
        </a:p>
      </xdr:txBody>
    </xdr:sp>
    <xdr:clientData/>
  </xdr:twoCellAnchor>
  <xdr:twoCellAnchor>
    <xdr:from>
      <xdr:col>1</xdr:col>
      <xdr:colOff>2125455</xdr:colOff>
      <xdr:row>206</xdr:row>
      <xdr:rowOff>3815</xdr:rowOff>
    </xdr:from>
    <xdr:to>
      <xdr:col>3</xdr:col>
      <xdr:colOff>129032</xdr:colOff>
      <xdr:row>207</xdr:row>
      <xdr:rowOff>185280</xdr:rowOff>
    </xdr:to>
    <xdr:sp macro="" textlink="">
      <xdr:nvSpPr>
        <xdr:cNvPr id="41" name="Google Shape;191;p3">
          <a:extLst>
            <a:ext uri="{FF2B5EF4-FFF2-40B4-BE49-F238E27FC236}">
              <a16:creationId xmlns:a16="http://schemas.microsoft.com/office/drawing/2014/main" id="{4FD6DB77-1E71-1A48-AC8A-EEC7A81F7D82}"/>
            </a:ext>
          </a:extLst>
        </xdr:cNvPr>
        <xdr:cNvSpPr/>
      </xdr:nvSpPr>
      <xdr:spPr>
        <a:xfrm>
          <a:off x="2731147" y="37185507"/>
          <a:ext cx="1090654" cy="367081"/>
        </a:xfrm>
        <a:prstGeom prst="roundRect">
          <a:avLst>
            <a:gd name="adj" fmla="val 16667"/>
          </a:avLst>
        </a:prstGeom>
        <a:solidFill>
          <a:srgbClr val="009FBB"/>
        </a:solidFill>
        <a:ln w="9525" cap="flat" cmpd="sng">
          <a:solidFill>
            <a:srgbClr val="009EBA"/>
          </a:solidFill>
          <a:prstDash val="solid"/>
          <a:round/>
          <a:headEnd type="none" w="sm" len="sm"/>
          <a:tailEnd type="none" w="sm" len="sm"/>
        </a:ln>
        <a:effectLst>
          <a:outerShdw blurRad="40000" dist="23000" dir="5400000" rotWithShape="0">
            <a:srgbClr val="000000">
              <a:alpha val="34901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algn="ctr"/>
          <a:r>
            <a:rPr lang="fr-CA">
              <a:solidFill>
                <a:schemeClr val="lt1"/>
              </a:solidFill>
            </a:rPr>
            <a:t>Fin de vie</a:t>
          </a:r>
          <a:endParaRPr sz="1200"/>
        </a:p>
      </xdr:txBody>
    </xdr:sp>
    <xdr:clientData/>
  </xdr:twoCellAnchor>
  <xdr:twoCellAnchor>
    <xdr:from>
      <xdr:col>1</xdr:col>
      <xdr:colOff>201217</xdr:colOff>
      <xdr:row>206</xdr:row>
      <xdr:rowOff>80951</xdr:rowOff>
    </xdr:from>
    <xdr:to>
      <xdr:col>1</xdr:col>
      <xdr:colOff>1331722</xdr:colOff>
      <xdr:row>208</xdr:row>
      <xdr:rowOff>174523</xdr:rowOff>
    </xdr:to>
    <xdr:sp macro="" textlink="">
      <xdr:nvSpPr>
        <xdr:cNvPr id="42" name="Google Shape;192;p3">
          <a:extLst>
            <a:ext uri="{FF2B5EF4-FFF2-40B4-BE49-F238E27FC236}">
              <a16:creationId xmlns:a16="http://schemas.microsoft.com/office/drawing/2014/main" id="{3E10A46A-802B-14AD-7510-7357CF2751D1}"/>
            </a:ext>
          </a:extLst>
        </xdr:cNvPr>
        <xdr:cNvSpPr/>
      </xdr:nvSpPr>
      <xdr:spPr>
        <a:xfrm>
          <a:off x="806909" y="37262643"/>
          <a:ext cx="1130505" cy="464803"/>
        </a:xfrm>
        <a:prstGeom prst="roundRect">
          <a:avLst>
            <a:gd name="adj" fmla="val 16667"/>
          </a:avLst>
        </a:prstGeom>
        <a:solidFill>
          <a:srgbClr val="009FBB"/>
        </a:solidFill>
        <a:ln w="9525" cap="flat" cmpd="sng">
          <a:solidFill>
            <a:srgbClr val="009EBA"/>
          </a:solidFill>
          <a:prstDash val="dot"/>
          <a:round/>
          <a:headEnd type="none" w="sm" len="sm"/>
          <a:tailEnd type="none" w="sm" len="sm"/>
        </a:ln>
        <a:effectLst>
          <a:outerShdw blurRad="40000" dist="23000" dir="5400000" rotWithShape="0">
            <a:srgbClr val="000000">
              <a:alpha val="34901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algn="ctr"/>
          <a:r>
            <a:rPr lang="fr-CA">
              <a:solidFill>
                <a:schemeClr val="lt1"/>
              </a:solidFill>
            </a:rPr>
            <a:t>Mise en décharge</a:t>
          </a:r>
          <a:endParaRPr sz="1200"/>
        </a:p>
      </xdr:txBody>
    </xdr:sp>
    <xdr:clientData/>
  </xdr:twoCellAnchor>
  <xdr:twoCellAnchor>
    <xdr:from>
      <xdr:col>1</xdr:col>
      <xdr:colOff>171312</xdr:colOff>
      <xdr:row>191</xdr:row>
      <xdr:rowOff>43626</xdr:rowOff>
    </xdr:from>
    <xdr:to>
      <xdr:col>1</xdr:col>
      <xdr:colOff>1320196</xdr:colOff>
      <xdr:row>193</xdr:row>
      <xdr:rowOff>110833</xdr:rowOff>
    </xdr:to>
    <xdr:sp macro="" textlink="">
      <xdr:nvSpPr>
        <xdr:cNvPr id="43" name="Google Shape;193;p3">
          <a:extLst>
            <a:ext uri="{FF2B5EF4-FFF2-40B4-BE49-F238E27FC236}">
              <a16:creationId xmlns:a16="http://schemas.microsoft.com/office/drawing/2014/main" id="{A5C902A4-0E8B-3D10-61A4-A0600CD84427}"/>
            </a:ext>
          </a:extLst>
        </xdr:cNvPr>
        <xdr:cNvSpPr/>
      </xdr:nvSpPr>
      <xdr:spPr>
        <a:xfrm>
          <a:off x="777004" y="34441088"/>
          <a:ext cx="1148884" cy="438437"/>
        </a:xfrm>
        <a:prstGeom prst="roundRect">
          <a:avLst>
            <a:gd name="adj" fmla="val 16667"/>
          </a:avLst>
        </a:prstGeom>
        <a:solidFill>
          <a:srgbClr val="009FBB"/>
        </a:solidFill>
        <a:ln w="9525" cap="flat" cmpd="sng">
          <a:solidFill>
            <a:srgbClr val="009EBA"/>
          </a:solidFill>
          <a:prstDash val="solid"/>
          <a:round/>
          <a:headEnd type="none" w="sm" len="sm"/>
          <a:tailEnd type="none" w="sm" len="sm"/>
        </a:ln>
        <a:effectLst>
          <a:outerShdw blurRad="40000" dist="23000" dir="5400000" rotWithShape="0">
            <a:srgbClr val="000000">
              <a:alpha val="34901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marR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</a:pPr>
          <a:r>
            <a:rPr lang="fr-CA" sz="1400" b="0" i="0" u="none" strike="noStrike" cap="none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Recyclage Al</a:t>
          </a:r>
          <a:endParaRPr sz="1400" b="0" i="0" u="none" strike="noStrike" cap="none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1320129</xdr:colOff>
      <xdr:row>195</xdr:row>
      <xdr:rowOff>73216</xdr:rowOff>
    </xdr:from>
    <xdr:to>
      <xdr:col>1</xdr:col>
      <xdr:colOff>2107921</xdr:colOff>
      <xdr:row>195</xdr:row>
      <xdr:rowOff>111789</xdr:rowOff>
    </xdr:to>
    <xdr:cxnSp macro="">
      <xdr:nvCxnSpPr>
        <xdr:cNvPr id="44" name="Google Shape;194;p3">
          <a:extLst>
            <a:ext uri="{FF2B5EF4-FFF2-40B4-BE49-F238E27FC236}">
              <a16:creationId xmlns:a16="http://schemas.microsoft.com/office/drawing/2014/main" id="{A0212917-5BE8-35DA-ACB7-D25449E2F27C}"/>
            </a:ext>
          </a:extLst>
        </xdr:cNvPr>
        <xdr:cNvCxnSpPr>
          <a:cxnSpLocks/>
          <a:stCxn id="39" idx="3"/>
          <a:endCxn id="40" idx="1"/>
        </xdr:cNvCxnSpPr>
      </xdr:nvCxnSpPr>
      <xdr:spPr>
        <a:xfrm flipV="1">
          <a:off x="1925821" y="35213139"/>
          <a:ext cx="787792" cy="38573"/>
        </a:xfrm>
        <a:prstGeom prst="straightConnector1">
          <a:avLst/>
        </a:prstGeom>
        <a:noFill/>
        <a:ln w="25400" cap="flat" cmpd="sng">
          <a:solidFill>
            <a:schemeClr val="dk1"/>
          </a:solidFill>
          <a:prstDash val="solid"/>
          <a:round/>
          <a:headEnd type="none" w="sm" len="sm"/>
          <a:tailEnd type="stealth" w="med" len="med"/>
        </a:ln>
        <a:effectLst>
          <a:outerShdw blurRad="40000" dist="20000" dir="5400000" rotWithShape="0">
            <a:srgbClr val="000000">
              <a:alpha val="37647"/>
            </a:srgbClr>
          </a:outerShdw>
        </a:effectLst>
      </xdr:spPr>
    </xdr:cxnSp>
    <xdr:clientData/>
  </xdr:twoCellAnchor>
  <xdr:twoCellAnchor>
    <xdr:from>
      <xdr:col>1</xdr:col>
      <xdr:colOff>201217</xdr:colOff>
      <xdr:row>210</xdr:row>
      <xdr:rowOff>67609</xdr:rowOff>
    </xdr:from>
    <xdr:to>
      <xdr:col>1</xdr:col>
      <xdr:colOff>1340364</xdr:colOff>
      <xdr:row>212</xdr:row>
      <xdr:rowOff>172941</xdr:rowOff>
    </xdr:to>
    <xdr:sp macro="" textlink="">
      <xdr:nvSpPr>
        <xdr:cNvPr id="45" name="Google Shape;195;p3">
          <a:extLst>
            <a:ext uri="{FF2B5EF4-FFF2-40B4-BE49-F238E27FC236}">
              <a16:creationId xmlns:a16="http://schemas.microsoft.com/office/drawing/2014/main" id="{B19ABB5B-6EB7-65A0-DAE6-97781DA5F626}"/>
            </a:ext>
          </a:extLst>
        </xdr:cNvPr>
        <xdr:cNvSpPr/>
      </xdr:nvSpPr>
      <xdr:spPr>
        <a:xfrm>
          <a:off x="806909" y="37991763"/>
          <a:ext cx="1139147" cy="476563"/>
        </a:xfrm>
        <a:prstGeom prst="roundRect">
          <a:avLst>
            <a:gd name="adj" fmla="val 16667"/>
          </a:avLst>
        </a:prstGeom>
        <a:solidFill>
          <a:srgbClr val="7030A0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  <a:effectLst>
          <a:outerShdw blurRad="40000" dist="23000" dir="5400000" rotWithShape="0">
            <a:srgbClr val="000000">
              <a:alpha val="34901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algn="ctr"/>
          <a:r>
            <a:rPr lang="fr-CA">
              <a:solidFill>
                <a:schemeClr val="lt1"/>
              </a:solidFill>
            </a:rPr>
            <a:t>Recyclage Al</a:t>
          </a:r>
          <a:endParaRPr sz="1200"/>
        </a:p>
      </xdr:txBody>
    </xdr:sp>
    <xdr:clientData/>
  </xdr:twoCellAnchor>
  <xdr:twoCellAnchor>
    <xdr:from>
      <xdr:col>1</xdr:col>
      <xdr:colOff>1320196</xdr:colOff>
      <xdr:row>192</xdr:row>
      <xdr:rowOff>77230</xdr:rowOff>
    </xdr:from>
    <xdr:to>
      <xdr:col>1</xdr:col>
      <xdr:colOff>2107921</xdr:colOff>
      <xdr:row>195</xdr:row>
      <xdr:rowOff>73216</xdr:rowOff>
    </xdr:to>
    <xdr:cxnSp macro="">
      <xdr:nvCxnSpPr>
        <xdr:cNvPr id="46" name="Google Shape;196;p3">
          <a:extLst>
            <a:ext uri="{FF2B5EF4-FFF2-40B4-BE49-F238E27FC236}">
              <a16:creationId xmlns:a16="http://schemas.microsoft.com/office/drawing/2014/main" id="{F5C2F4DE-29C7-5FC2-80AA-0379A40A30CD}"/>
            </a:ext>
          </a:extLst>
        </xdr:cNvPr>
        <xdr:cNvCxnSpPr>
          <a:cxnSpLocks/>
          <a:stCxn id="43" idx="3"/>
          <a:endCxn id="40" idx="1"/>
        </xdr:cNvCxnSpPr>
      </xdr:nvCxnSpPr>
      <xdr:spPr>
        <a:xfrm>
          <a:off x="1925888" y="34660307"/>
          <a:ext cx="787725" cy="552832"/>
        </a:xfrm>
        <a:prstGeom prst="straightConnector1">
          <a:avLst/>
        </a:prstGeom>
        <a:noFill/>
        <a:ln w="25400" cap="flat" cmpd="sng">
          <a:solidFill>
            <a:schemeClr val="dk1"/>
          </a:solidFill>
          <a:prstDash val="solid"/>
          <a:round/>
          <a:headEnd type="none" w="sm" len="sm"/>
          <a:tailEnd type="stealth" w="med" len="med"/>
        </a:ln>
        <a:effectLst>
          <a:outerShdw blurRad="40000" dist="20000" dir="5400000" rotWithShape="0">
            <a:srgbClr val="000000">
              <a:alpha val="37647"/>
            </a:srgbClr>
          </a:outerShdw>
        </a:effectLst>
      </xdr:spPr>
    </xdr:cxnSp>
    <xdr:clientData/>
  </xdr:twoCellAnchor>
  <xdr:twoCellAnchor>
    <xdr:from>
      <xdr:col>1</xdr:col>
      <xdr:colOff>1402783</xdr:colOff>
      <xdr:row>191</xdr:row>
      <xdr:rowOff>70404</xdr:rowOff>
    </xdr:from>
    <xdr:to>
      <xdr:col>1</xdr:col>
      <xdr:colOff>1916153</xdr:colOff>
      <xdr:row>193</xdr:row>
      <xdr:rowOff>10629</xdr:rowOff>
    </xdr:to>
    <xdr:sp macro="" textlink="">
      <xdr:nvSpPr>
        <xdr:cNvPr id="47" name="Google Shape;197;p3">
          <a:extLst>
            <a:ext uri="{FF2B5EF4-FFF2-40B4-BE49-F238E27FC236}">
              <a16:creationId xmlns:a16="http://schemas.microsoft.com/office/drawing/2014/main" id="{FB076D71-80C9-E5C0-4E7E-ECC75BD64468}"/>
            </a:ext>
          </a:extLst>
        </xdr:cNvPr>
        <xdr:cNvSpPr txBox="1"/>
      </xdr:nvSpPr>
      <xdr:spPr>
        <a:xfrm>
          <a:off x="2008475" y="34467866"/>
          <a:ext cx="513370" cy="31145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fr-CA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40%</a:t>
          </a:r>
          <a:endParaRPr sz="1200"/>
        </a:p>
      </xdr:txBody>
    </xdr:sp>
    <xdr:clientData/>
  </xdr:twoCellAnchor>
  <xdr:twoCellAnchor>
    <xdr:from>
      <xdr:col>1</xdr:col>
      <xdr:colOff>1432430</xdr:colOff>
      <xdr:row>208</xdr:row>
      <xdr:rowOff>76036</xdr:rowOff>
    </xdr:from>
    <xdr:to>
      <xdr:col>1</xdr:col>
      <xdr:colOff>1945800</xdr:colOff>
      <xdr:row>210</xdr:row>
      <xdr:rowOff>16260</xdr:rowOff>
    </xdr:to>
    <xdr:sp macro="" textlink="">
      <xdr:nvSpPr>
        <xdr:cNvPr id="48" name="Google Shape;198;p3">
          <a:extLst>
            <a:ext uri="{FF2B5EF4-FFF2-40B4-BE49-F238E27FC236}">
              <a16:creationId xmlns:a16="http://schemas.microsoft.com/office/drawing/2014/main" id="{B5892D8C-5790-CF47-7707-BB38ED5792F4}"/>
            </a:ext>
          </a:extLst>
        </xdr:cNvPr>
        <xdr:cNvSpPr txBox="1"/>
      </xdr:nvSpPr>
      <xdr:spPr>
        <a:xfrm>
          <a:off x="2038122" y="37628959"/>
          <a:ext cx="513370" cy="31145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fr-CA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80%</a:t>
          </a:r>
          <a:endParaRPr sz="1200"/>
        </a:p>
      </xdr:txBody>
    </xdr:sp>
    <xdr:clientData/>
  </xdr:twoCellAnchor>
  <xdr:twoCellAnchor>
    <xdr:from>
      <xdr:col>3</xdr:col>
      <xdr:colOff>741810</xdr:colOff>
      <xdr:row>199</xdr:row>
      <xdr:rowOff>141256</xdr:rowOff>
    </xdr:from>
    <xdr:to>
      <xdr:col>4</xdr:col>
      <xdr:colOff>534023</xdr:colOff>
      <xdr:row>202</xdr:row>
      <xdr:rowOff>141008</xdr:rowOff>
    </xdr:to>
    <xdr:sp macro="" textlink="">
      <xdr:nvSpPr>
        <xdr:cNvPr id="49" name="Google Shape;199;p3">
          <a:extLst>
            <a:ext uri="{FF2B5EF4-FFF2-40B4-BE49-F238E27FC236}">
              <a16:creationId xmlns:a16="http://schemas.microsoft.com/office/drawing/2014/main" id="{C7DA6BEF-648A-80B0-F1A1-BFB423F937DA}"/>
            </a:ext>
          </a:extLst>
        </xdr:cNvPr>
        <xdr:cNvSpPr/>
      </xdr:nvSpPr>
      <xdr:spPr>
        <a:xfrm>
          <a:off x="4434579" y="36023641"/>
          <a:ext cx="1247829" cy="556598"/>
        </a:xfrm>
        <a:prstGeom prst="roundRect">
          <a:avLst>
            <a:gd name="adj" fmla="val 16667"/>
          </a:avLst>
        </a:prstGeom>
        <a:solidFill>
          <a:srgbClr val="009FBB"/>
        </a:solidFill>
        <a:ln w="9525" cap="flat" cmpd="sng">
          <a:solidFill>
            <a:srgbClr val="009EBA"/>
          </a:solidFill>
          <a:prstDash val="solid"/>
          <a:round/>
          <a:headEnd type="none" w="sm" len="sm"/>
          <a:tailEnd type="none" w="sm" len="sm"/>
        </a:ln>
        <a:effectLst>
          <a:outerShdw blurRad="40000" dist="23000" dir="5400000" rotWithShape="0">
            <a:srgbClr val="000000">
              <a:alpha val="34901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algn="ctr"/>
          <a:r>
            <a:rPr lang="fr-CA">
              <a:solidFill>
                <a:schemeClr val="lt1"/>
              </a:solidFill>
            </a:rPr>
            <a:t>Prod. Canette thé froid</a:t>
          </a:r>
          <a:endParaRPr sz="1200"/>
        </a:p>
      </xdr:txBody>
    </xdr:sp>
    <xdr:clientData/>
  </xdr:twoCellAnchor>
  <xdr:twoCellAnchor>
    <xdr:from>
      <xdr:col>3</xdr:col>
      <xdr:colOff>159992</xdr:colOff>
      <xdr:row>195</xdr:row>
      <xdr:rowOff>73216</xdr:rowOff>
    </xdr:from>
    <xdr:to>
      <xdr:col>3</xdr:col>
      <xdr:colOff>741810</xdr:colOff>
      <xdr:row>201</xdr:row>
      <xdr:rowOff>48325</xdr:rowOff>
    </xdr:to>
    <xdr:cxnSp macro="">
      <xdr:nvCxnSpPr>
        <xdr:cNvPr id="50" name="Google Shape;200;p3">
          <a:extLst>
            <a:ext uri="{FF2B5EF4-FFF2-40B4-BE49-F238E27FC236}">
              <a16:creationId xmlns:a16="http://schemas.microsoft.com/office/drawing/2014/main" id="{ABBE18ED-83C9-C164-0090-D03220E3E66F}"/>
            </a:ext>
          </a:extLst>
        </xdr:cNvPr>
        <xdr:cNvCxnSpPr>
          <a:cxnSpLocks/>
          <a:stCxn id="40" idx="3"/>
          <a:endCxn id="49" idx="1"/>
        </xdr:cNvCxnSpPr>
      </xdr:nvCxnSpPr>
      <xdr:spPr>
        <a:xfrm>
          <a:off x="3852761" y="35213139"/>
          <a:ext cx="581818" cy="1088801"/>
        </a:xfrm>
        <a:prstGeom prst="straightConnector1">
          <a:avLst/>
        </a:prstGeom>
        <a:noFill/>
        <a:ln w="25400" cap="flat" cmpd="sng">
          <a:solidFill>
            <a:schemeClr val="dk1"/>
          </a:solidFill>
          <a:prstDash val="solid"/>
          <a:round/>
          <a:headEnd type="none" w="sm" len="sm"/>
          <a:tailEnd type="stealth" w="med" len="med"/>
        </a:ln>
        <a:effectLst>
          <a:outerShdw blurRad="40000" dist="20000" dir="5400000" rotWithShape="0">
            <a:srgbClr val="000000">
              <a:alpha val="37647"/>
            </a:srgbClr>
          </a:outerShdw>
        </a:effectLst>
      </xdr:spPr>
    </xdr:cxnSp>
    <xdr:clientData/>
  </xdr:twoCellAnchor>
  <xdr:twoCellAnchor>
    <xdr:from>
      <xdr:col>1</xdr:col>
      <xdr:colOff>1340364</xdr:colOff>
      <xdr:row>211</xdr:row>
      <xdr:rowOff>120276</xdr:rowOff>
    </xdr:from>
    <xdr:to>
      <xdr:col>1</xdr:col>
      <xdr:colOff>2125455</xdr:colOff>
      <xdr:row>211</xdr:row>
      <xdr:rowOff>147036</xdr:rowOff>
    </xdr:to>
    <xdr:cxnSp macro="">
      <xdr:nvCxnSpPr>
        <xdr:cNvPr id="51" name="Google Shape;205;p3">
          <a:extLst>
            <a:ext uri="{FF2B5EF4-FFF2-40B4-BE49-F238E27FC236}">
              <a16:creationId xmlns:a16="http://schemas.microsoft.com/office/drawing/2014/main" id="{61007101-88AB-FF74-4C38-1092E3C1BD1A}"/>
            </a:ext>
          </a:extLst>
        </xdr:cNvPr>
        <xdr:cNvCxnSpPr>
          <a:cxnSpLocks/>
          <a:stCxn id="45" idx="3"/>
        </xdr:cNvCxnSpPr>
      </xdr:nvCxnSpPr>
      <xdr:spPr>
        <a:xfrm>
          <a:off x="1946056" y="38230045"/>
          <a:ext cx="785091" cy="26760"/>
        </a:xfrm>
        <a:prstGeom prst="straightConnector1">
          <a:avLst/>
        </a:prstGeom>
        <a:noFill/>
        <a:ln w="25400" cap="flat" cmpd="sng">
          <a:solidFill>
            <a:schemeClr val="dk1"/>
          </a:solidFill>
          <a:prstDash val="solid"/>
          <a:round/>
          <a:headEnd type="none" w="sm" len="sm"/>
          <a:tailEnd type="stealth" w="med" len="med"/>
        </a:ln>
        <a:effectLst>
          <a:outerShdw blurRad="40000" dist="20000" dir="5400000" rotWithShape="0">
            <a:srgbClr val="000000">
              <a:alpha val="37647"/>
            </a:srgbClr>
          </a:outerShdw>
        </a:effectLst>
      </xdr:spPr>
    </xdr:cxnSp>
    <xdr:clientData/>
  </xdr:twoCellAnchor>
  <xdr:twoCellAnchor>
    <xdr:from>
      <xdr:col>1</xdr:col>
      <xdr:colOff>1340364</xdr:colOff>
      <xdr:row>207</xdr:row>
      <xdr:rowOff>1740</xdr:rowOff>
    </xdr:from>
    <xdr:to>
      <xdr:col>1</xdr:col>
      <xdr:colOff>2125455</xdr:colOff>
      <xdr:row>211</xdr:row>
      <xdr:rowOff>120276</xdr:rowOff>
    </xdr:to>
    <xdr:cxnSp macro="">
      <xdr:nvCxnSpPr>
        <xdr:cNvPr id="52" name="Google Shape;206;p3">
          <a:extLst>
            <a:ext uri="{FF2B5EF4-FFF2-40B4-BE49-F238E27FC236}">
              <a16:creationId xmlns:a16="http://schemas.microsoft.com/office/drawing/2014/main" id="{56737C82-7ED9-FAC2-E482-85B31BE5740E}"/>
            </a:ext>
          </a:extLst>
        </xdr:cNvPr>
        <xdr:cNvCxnSpPr>
          <a:cxnSpLocks/>
          <a:stCxn id="45" idx="3"/>
          <a:endCxn id="41" idx="1"/>
        </xdr:cNvCxnSpPr>
      </xdr:nvCxnSpPr>
      <xdr:spPr>
        <a:xfrm flipV="1">
          <a:off x="1946056" y="37369048"/>
          <a:ext cx="785091" cy="860997"/>
        </a:xfrm>
        <a:prstGeom prst="straightConnector1">
          <a:avLst/>
        </a:prstGeom>
        <a:noFill/>
        <a:ln w="25400" cap="flat" cmpd="sng">
          <a:solidFill>
            <a:schemeClr val="dk1"/>
          </a:solidFill>
          <a:prstDash val="solid"/>
          <a:round/>
          <a:headEnd type="none" w="sm" len="sm"/>
          <a:tailEnd type="stealth" w="med" len="med"/>
        </a:ln>
        <a:effectLst>
          <a:outerShdw blurRad="40000" dist="20000" dir="5400000" rotWithShape="0">
            <a:srgbClr val="000000">
              <a:alpha val="37647"/>
            </a:srgbClr>
          </a:outerShdw>
        </a:effectLst>
      </xdr:spPr>
    </xdr:cxnSp>
    <xdr:clientData/>
  </xdr:twoCellAnchor>
  <xdr:twoCellAnchor>
    <xdr:from>
      <xdr:col>1</xdr:col>
      <xdr:colOff>1331722</xdr:colOff>
      <xdr:row>207</xdr:row>
      <xdr:rowOff>1740</xdr:rowOff>
    </xdr:from>
    <xdr:to>
      <xdr:col>1</xdr:col>
      <xdr:colOff>2125455</xdr:colOff>
      <xdr:row>207</xdr:row>
      <xdr:rowOff>127737</xdr:rowOff>
    </xdr:to>
    <xdr:cxnSp macro="">
      <xdr:nvCxnSpPr>
        <xdr:cNvPr id="53" name="Google Shape;207;p3">
          <a:extLst>
            <a:ext uri="{FF2B5EF4-FFF2-40B4-BE49-F238E27FC236}">
              <a16:creationId xmlns:a16="http://schemas.microsoft.com/office/drawing/2014/main" id="{CF56088A-799B-840A-1DFD-9F50A597AF4D}"/>
            </a:ext>
          </a:extLst>
        </xdr:cNvPr>
        <xdr:cNvCxnSpPr>
          <a:stCxn id="42" idx="3"/>
          <a:endCxn id="41" idx="1"/>
        </xdr:cNvCxnSpPr>
      </xdr:nvCxnSpPr>
      <xdr:spPr>
        <a:xfrm flipV="1">
          <a:off x="1937414" y="37369048"/>
          <a:ext cx="793733" cy="125997"/>
        </a:xfrm>
        <a:prstGeom prst="straightConnector1">
          <a:avLst/>
        </a:prstGeom>
        <a:noFill/>
        <a:ln w="25400" cap="flat" cmpd="sng">
          <a:solidFill>
            <a:schemeClr val="dk1"/>
          </a:solidFill>
          <a:prstDash val="solid"/>
          <a:round/>
          <a:headEnd type="none" w="sm" len="sm"/>
          <a:tailEnd type="stealth" w="med" len="med"/>
        </a:ln>
        <a:effectLst>
          <a:outerShdw blurRad="40000" dist="20000" dir="5400000" rotWithShape="0">
            <a:srgbClr val="000000">
              <a:alpha val="37647"/>
            </a:srgbClr>
          </a:outerShdw>
        </a:effectLst>
      </xdr:spPr>
    </xdr:cxnSp>
    <xdr:clientData/>
  </xdr:twoCellAnchor>
  <xdr:twoCellAnchor>
    <xdr:from>
      <xdr:col>3</xdr:col>
      <xdr:colOff>129032</xdr:colOff>
      <xdr:row>201</xdr:row>
      <xdr:rowOff>48325</xdr:rowOff>
    </xdr:from>
    <xdr:to>
      <xdr:col>3</xdr:col>
      <xdr:colOff>741810</xdr:colOff>
      <xdr:row>207</xdr:row>
      <xdr:rowOff>1740</xdr:rowOff>
    </xdr:to>
    <xdr:cxnSp macro="">
      <xdr:nvCxnSpPr>
        <xdr:cNvPr id="54" name="Google Shape;208;p3">
          <a:extLst>
            <a:ext uri="{FF2B5EF4-FFF2-40B4-BE49-F238E27FC236}">
              <a16:creationId xmlns:a16="http://schemas.microsoft.com/office/drawing/2014/main" id="{30501118-E88E-E3D4-71B3-DDB16348AB52}"/>
            </a:ext>
          </a:extLst>
        </xdr:cNvPr>
        <xdr:cNvCxnSpPr>
          <a:cxnSpLocks/>
          <a:stCxn id="41" idx="3"/>
          <a:endCxn id="49" idx="1"/>
        </xdr:cNvCxnSpPr>
      </xdr:nvCxnSpPr>
      <xdr:spPr>
        <a:xfrm flipV="1">
          <a:off x="3821801" y="36301940"/>
          <a:ext cx="612778" cy="1067108"/>
        </a:xfrm>
        <a:prstGeom prst="straightConnector1">
          <a:avLst/>
        </a:prstGeom>
        <a:noFill/>
        <a:ln w="25400" cap="flat" cmpd="sng">
          <a:solidFill>
            <a:schemeClr val="dk1"/>
          </a:solidFill>
          <a:prstDash val="solid"/>
          <a:round/>
          <a:headEnd type="none" w="sm" len="sm"/>
          <a:tailEnd type="stealth" w="med" len="med"/>
        </a:ln>
        <a:effectLst>
          <a:outerShdw blurRad="40000" dist="20000" dir="5400000" rotWithShape="0">
            <a:srgbClr val="000000">
              <a:alpha val="37647"/>
            </a:srgbClr>
          </a:outerShdw>
        </a:effectLst>
      </xdr:spPr>
    </xdr:cxnSp>
    <xdr:clientData/>
  </xdr:twoCellAnchor>
  <xdr:twoCellAnchor>
    <xdr:from>
      <xdr:col>4</xdr:col>
      <xdr:colOff>534023</xdr:colOff>
      <xdr:row>201</xdr:row>
      <xdr:rowOff>48325</xdr:rowOff>
    </xdr:from>
    <xdr:to>
      <xdr:col>5</xdr:col>
      <xdr:colOff>71003</xdr:colOff>
      <xdr:row>201</xdr:row>
      <xdr:rowOff>48325</xdr:rowOff>
    </xdr:to>
    <xdr:cxnSp macro="">
      <xdr:nvCxnSpPr>
        <xdr:cNvPr id="55" name="Google Shape;210;p3">
          <a:extLst>
            <a:ext uri="{FF2B5EF4-FFF2-40B4-BE49-F238E27FC236}">
              <a16:creationId xmlns:a16="http://schemas.microsoft.com/office/drawing/2014/main" id="{6BA68BED-B663-BD4A-536D-BA8A8D255220}"/>
            </a:ext>
          </a:extLst>
        </xdr:cNvPr>
        <xdr:cNvCxnSpPr>
          <a:cxnSpLocks/>
          <a:stCxn id="49" idx="3"/>
        </xdr:cNvCxnSpPr>
      </xdr:nvCxnSpPr>
      <xdr:spPr>
        <a:xfrm>
          <a:off x="5682408" y="36301940"/>
          <a:ext cx="377133" cy="0"/>
        </a:xfrm>
        <a:prstGeom prst="straightConnector1">
          <a:avLst/>
        </a:prstGeom>
        <a:noFill/>
        <a:ln w="25400" cap="flat" cmpd="sng">
          <a:solidFill>
            <a:schemeClr val="dk1"/>
          </a:solidFill>
          <a:prstDash val="solid"/>
          <a:round/>
          <a:headEnd type="none" w="sm" len="sm"/>
          <a:tailEnd type="stealth" w="med" len="med"/>
        </a:ln>
        <a:effectLst>
          <a:outerShdw blurRad="40000" dist="20000" dir="5400000" rotWithShape="0">
            <a:srgbClr val="000000">
              <a:alpha val="37647"/>
            </a:srgbClr>
          </a:outerShdw>
        </a:effectLst>
      </xdr:spPr>
    </xdr:cxnSp>
    <xdr:clientData/>
  </xdr:twoCellAnchor>
  <xdr:twoCellAnchor>
    <xdr:from>
      <xdr:col>1</xdr:col>
      <xdr:colOff>1438687</xdr:colOff>
      <xdr:row>206</xdr:row>
      <xdr:rowOff>6728</xdr:rowOff>
    </xdr:from>
    <xdr:to>
      <xdr:col>1</xdr:col>
      <xdr:colOff>1952057</xdr:colOff>
      <xdr:row>207</xdr:row>
      <xdr:rowOff>132567</xdr:rowOff>
    </xdr:to>
    <xdr:sp macro="" textlink="">
      <xdr:nvSpPr>
        <xdr:cNvPr id="56" name="Google Shape;233;p3">
          <a:extLst>
            <a:ext uri="{FF2B5EF4-FFF2-40B4-BE49-F238E27FC236}">
              <a16:creationId xmlns:a16="http://schemas.microsoft.com/office/drawing/2014/main" id="{31A49415-93E4-5799-5753-604D5C85CCF8}"/>
            </a:ext>
          </a:extLst>
        </xdr:cNvPr>
        <xdr:cNvSpPr txBox="1"/>
      </xdr:nvSpPr>
      <xdr:spPr>
        <a:xfrm>
          <a:off x="2044379" y="37188420"/>
          <a:ext cx="513370" cy="31145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fr-CH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20</a:t>
          </a:r>
          <a:r>
            <a:rPr lang="fr-CA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%</a:t>
          </a:r>
          <a:endParaRPr sz="1200"/>
        </a:p>
      </xdr:txBody>
    </xdr:sp>
    <xdr:clientData/>
  </xdr:twoCellAnchor>
  <xdr:twoCellAnchor>
    <xdr:from>
      <xdr:col>1</xdr:col>
      <xdr:colOff>180982</xdr:colOff>
      <xdr:row>197</xdr:row>
      <xdr:rowOff>117839</xdr:rowOff>
    </xdr:from>
    <xdr:to>
      <xdr:col>1</xdr:col>
      <xdr:colOff>1320129</xdr:colOff>
      <xdr:row>200</xdr:row>
      <xdr:rowOff>25796</xdr:rowOff>
    </xdr:to>
    <xdr:sp macro="" textlink="">
      <xdr:nvSpPr>
        <xdr:cNvPr id="57" name="Google Shape;189;p3">
          <a:extLst>
            <a:ext uri="{FF2B5EF4-FFF2-40B4-BE49-F238E27FC236}">
              <a16:creationId xmlns:a16="http://schemas.microsoft.com/office/drawing/2014/main" id="{9AABA190-278E-F799-AE06-1D36291BCE61}"/>
            </a:ext>
          </a:extLst>
        </xdr:cNvPr>
        <xdr:cNvSpPr/>
      </xdr:nvSpPr>
      <xdr:spPr>
        <a:xfrm>
          <a:off x="786674" y="35628993"/>
          <a:ext cx="1139147" cy="464803"/>
        </a:xfrm>
        <a:prstGeom prst="roundRect">
          <a:avLst>
            <a:gd name="adj" fmla="val 16667"/>
          </a:avLst>
        </a:prstGeom>
        <a:solidFill>
          <a:srgbClr val="009FBB"/>
        </a:solidFill>
        <a:ln w="9525" cap="flat" cmpd="sng">
          <a:solidFill>
            <a:srgbClr val="009EBA"/>
          </a:solidFill>
          <a:prstDash val="solid"/>
          <a:round/>
          <a:headEnd type="none" w="sm" len="sm"/>
          <a:tailEnd type="none" w="sm" len="sm"/>
        </a:ln>
        <a:effectLst>
          <a:outerShdw blurRad="40000" dist="23000" dir="5400000" rotWithShape="0">
            <a:srgbClr val="000000">
              <a:alpha val="34901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algn="ctr"/>
          <a:r>
            <a:rPr lang="fr-CA">
              <a:solidFill>
                <a:schemeClr val="lt1"/>
              </a:solidFill>
            </a:rPr>
            <a:t>Prod. electricité</a:t>
          </a:r>
          <a:endParaRPr>
            <a:solidFill>
              <a:schemeClr val="lt1"/>
            </a:solidFill>
          </a:endParaRPr>
        </a:p>
      </xdr:txBody>
    </xdr:sp>
    <xdr:clientData/>
  </xdr:twoCellAnchor>
  <xdr:twoCellAnchor>
    <xdr:from>
      <xdr:col>1</xdr:col>
      <xdr:colOff>2107921</xdr:colOff>
      <xdr:row>198</xdr:row>
      <xdr:rowOff>156634</xdr:rowOff>
    </xdr:from>
    <xdr:to>
      <xdr:col>3</xdr:col>
      <xdr:colOff>159992</xdr:colOff>
      <xdr:row>201</xdr:row>
      <xdr:rowOff>28049</xdr:rowOff>
    </xdr:to>
    <xdr:sp macro="" textlink="">
      <xdr:nvSpPr>
        <xdr:cNvPr id="58" name="Google Shape;189;p3">
          <a:extLst>
            <a:ext uri="{FF2B5EF4-FFF2-40B4-BE49-F238E27FC236}">
              <a16:creationId xmlns:a16="http://schemas.microsoft.com/office/drawing/2014/main" id="{7D303C4A-15EF-B193-1701-4F598ACF71C7}"/>
            </a:ext>
          </a:extLst>
        </xdr:cNvPr>
        <xdr:cNvSpPr/>
      </xdr:nvSpPr>
      <xdr:spPr>
        <a:xfrm>
          <a:off x="2713613" y="35853403"/>
          <a:ext cx="1139148" cy="428261"/>
        </a:xfrm>
        <a:prstGeom prst="roundRect">
          <a:avLst>
            <a:gd name="adj" fmla="val 16667"/>
          </a:avLst>
        </a:prstGeom>
        <a:solidFill>
          <a:srgbClr val="009FBB"/>
        </a:solidFill>
        <a:ln w="9525" cap="flat" cmpd="sng">
          <a:solidFill>
            <a:srgbClr val="009EBA"/>
          </a:solidFill>
          <a:prstDash val="solid"/>
          <a:round/>
          <a:headEnd type="none" w="sm" len="sm"/>
          <a:tailEnd type="none" w="sm" len="sm"/>
        </a:ln>
        <a:effectLst>
          <a:outerShdw blurRad="40000" dist="23000" dir="5400000" rotWithShape="0">
            <a:srgbClr val="000000">
              <a:alpha val="34901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algn="ctr"/>
          <a:r>
            <a:rPr lang="fr-CA">
              <a:solidFill>
                <a:schemeClr val="lt1"/>
              </a:solidFill>
            </a:rPr>
            <a:t>Eau potable</a:t>
          </a:r>
          <a:endParaRPr>
            <a:solidFill>
              <a:schemeClr val="lt1"/>
            </a:solidFill>
          </a:endParaRPr>
        </a:p>
      </xdr:txBody>
    </xdr:sp>
    <xdr:clientData/>
  </xdr:twoCellAnchor>
  <xdr:twoCellAnchor>
    <xdr:from>
      <xdr:col>1</xdr:col>
      <xdr:colOff>2107922</xdr:colOff>
      <xdr:row>201</xdr:row>
      <xdr:rowOff>157621</xdr:rowOff>
    </xdr:from>
    <xdr:to>
      <xdr:col>3</xdr:col>
      <xdr:colOff>159992</xdr:colOff>
      <xdr:row>204</xdr:row>
      <xdr:rowOff>29035</xdr:rowOff>
    </xdr:to>
    <xdr:sp macro="" textlink="">
      <xdr:nvSpPr>
        <xdr:cNvPr id="59" name="Google Shape;189;p3">
          <a:extLst>
            <a:ext uri="{FF2B5EF4-FFF2-40B4-BE49-F238E27FC236}">
              <a16:creationId xmlns:a16="http://schemas.microsoft.com/office/drawing/2014/main" id="{B83D18D9-C6F0-4AD0-1BCD-3D562EC06738}"/>
            </a:ext>
          </a:extLst>
        </xdr:cNvPr>
        <xdr:cNvSpPr/>
      </xdr:nvSpPr>
      <xdr:spPr>
        <a:xfrm>
          <a:off x="2713614" y="36411236"/>
          <a:ext cx="1139147" cy="428261"/>
        </a:xfrm>
        <a:prstGeom prst="roundRect">
          <a:avLst>
            <a:gd name="adj" fmla="val 16667"/>
          </a:avLst>
        </a:prstGeom>
        <a:solidFill>
          <a:srgbClr val="009FBB"/>
        </a:solidFill>
        <a:ln w="9525" cap="flat" cmpd="sng">
          <a:solidFill>
            <a:srgbClr val="009EBA"/>
          </a:solidFill>
          <a:prstDash val="solid"/>
          <a:round/>
          <a:headEnd type="none" w="sm" len="sm"/>
          <a:tailEnd type="none" w="sm" len="sm"/>
        </a:ln>
        <a:effectLst>
          <a:outerShdw blurRad="40000" dist="23000" dir="5400000" rotWithShape="0">
            <a:srgbClr val="000000">
              <a:alpha val="34901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algn="ctr"/>
          <a:r>
            <a:rPr lang="fr-CA">
              <a:solidFill>
                <a:schemeClr val="lt1"/>
              </a:solidFill>
            </a:rPr>
            <a:t>Prod. sucre</a:t>
          </a:r>
          <a:endParaRPr>
            <a:solidFill>
              <a:schemeClr val="lt1"/>
            </a:solidFill>
          </a:endParaRPr>
        </a:p>
      </xdr:txBody>
    </xdr:sp>
    <xdr:clientData/>
  </xdr:twoCellAnchor>
  <xdr:twoCellAnchor>
    <xdr:from>
      <xdr:col>3</xdr:col>
      <xdr:colOff>159992</xdr:colOff>
      <xdr:row>199</xdr:row>
      <xdr:rowOff>185149</xdr:rowOff>
    </xdr:from>
    <xdr:to>
      <xdr:col>3</xdr:col>
      <xdr:colOff>741810</xdr:colOff>
      <xdr:row>201</xdr:row>
      <xdr:rowOff>48325</xdr:rowOff>
    </xdr:to>
    <xdr:cxnSp macro="">
      <xdr:nvCxnSpPr>
        <xdr:cNvPr id="60" name="Google Shape;194;p3">
          <a:extLst>
            <a:ext uri="{FF2B5EF4-FFF2-40B4-BE49-F238E27FC236}">
              <a16:creationId xmlns:a16="http://schemas.microsoft.com/office/drawing/2014/main" id="{1B393524-4A32-6796-7BDD-66F1D377481E}"/>
            </a:ext>
          </a:extLst>
        </xdr:cNvPr>
        <xdr:cNvCxnSpPr>
          <a:cxnSpLocks/>
          <a:stCxn id="58" idx="3"/>
          <a:endCxn id="49" idx="1"/>
        </xdr:cNvCxnSpPr>
      </xdr:nvCxnSpPr>
      <xdr:spPr>
        <a:xfrm>
          <a:off x="3852761" y="36067534"/>
          <a:ext cx="581818" cy="234406"/>
        </a:xfrm>
        <a:prstGeom prst="straightConnector1">
          <a:avLst/>
        </a:prstGeom>
        <a:noFill/>
        <a:ln w="25400" cap="flat" cmpd="sng">
          <a:solidFill>
            <a:schemeClr val="dk1"/>
          </a:solidFill>
          <a:prstDash val="solid"/>
          <a:round/>
          <a:headEnd type="none" w="sm" len="sm"/>
          <a:tailEnd type="stealth" w="med" len="med"/>
        </a:ln>
        <a:effectLst>
          <a:outerShdw blurRad="40000" dist="20000" dir="5400000" rotWithShape="0">
            <a:srgbClr val="000000">
              <a:alpha val="37647"/>
            </a:srgbClr>
          </a:outerShdw>
        </a:effectLst>
      </xdr:spPr>
    </xdr:cxnSp>
    <xdr:clientData/>
  </xdr:twoCellAnchor>
  <xdr:twoCellAnchor>
    <xdr:from>
      <xdr:col>3</xdr:col>
      <xdr:colOff>159992</xdr:colOff>
      <xdr:row>201</xdr:row>
      <xdr:rowOff>48325</xdr:rowOff>
    </xdr:from>
    <xdr:to>
      <xdr:col>3</xdr:col>
      <xdr:colOff>741810</xdr:colOff>
      <xdr:row>203</xdr:row>
      <xdr:rowOff>521</xdr:rowOff>
    </xdr:to>
    <xdr:cxnSp macro="">
      <xdr:nvCxnSpPr>
        <xdr:cNvPr id="61" name="Google Shape;194;p3">
          <a:extLst>
            <a:ext uri="{FF2B5EF4-FFF2-40B4-BE49-F238E27FC236}">
              <a16:creationId xmlns:a16="http://schemas.microsoft.com/office/drawing/2014/main" id="{00672723-D68B-548E-1B90-B4AD478437E9}"/>
            </a:ext>
          </a:extLst>
        </xdr:cNvPr>
        <xdr:cNvCxnSpPr>
          <a:cxnSpLocks/>
          <a:stCxn id="59" idx="3"/>
          <a:endCxn id="49" idx="1"/>
        </xdr:cNvCxnSpPr>
      </xdr:nvCxnSpPr>
      <xdr:spPr>
        <a:xfrm flipV="1">
          <a:off x="3852761" y="36301940"/>
          <a:ext cx="581818" cy="323427"/>
        </a:xfrm>
        <a:prstGeom prst="straightConnector1">
          <a:avLst/>
        </a:prstGeom>
        <a:noFill/>
        <a:ln w="25400" cap="flat" cmpd="sng">
          <a:solidFill>
            <a:schemeClr val="dk1"/>
          </a:solidFill>
          <a:prstDash val="solid"/>
          <a:round/>
          <a:headEnd type="none" w="sm" len="sm"/>
          <a:tailEnd type="stealth" w="med" len="med"/>
        </a:ln>
        <a:effectLst>
          <a:outerShdw blurRad="40000" dist="20000" dir="5400000" rotWithShape="0">
            <a:srgbClr val="000000">
              <a:alpha val="37647"/>
            </a:srgbClr>
          </a:outerShdw>
        </a:effectLst>
      </xdr:spPr>
    </xdr:cxnSp>
    <xdr:clientData/>
  </xdr:twoCellAnchor>
  <xdr:twoCellAnchor>
    <xdr:from>
      <xdr:col>1</xdr:col>
      <xdr:colOff>1320129</xdr:colOff>
      <xdr:row>195</xdr:row>
      <xdr:rowOff>73216</xdr:rowOff>
    </xdr:from>
    <xdr:to>
      <xdr:col>1</xdr:col>
      <xdr:colOff>2107921</xdr:colOff>
      <xdr:row>198</xdr:row>
      <xdr:rowOff>164626</xdr:rowOff>
    </xdr:to>
    <xdr:cxnSp macro="">
      <xdr:nvCxnSpPr>
        <xdr:cNvPr id="62" name="Google Shape;194;p3">
          <a:extLst>
            <a:ext uri="{FF2B5EF4-FFF2-40B4-BE49-F238E27FC236}">
              <a16:creationId xmlns:a16="http://schemas.microsoft.com/office/drawing/2014/main" id="{7E7C9E32-612C-9B4B-977C-C28E6FE54B66}"/>
            </a:ext>
          </a:extLst>
        </xdr:cNvPr>
        <xdr:cNvCxnSpPr>
          <a:cxnSpLocks/>
          <a:stCxn id="57" idx="3"/>
          <a:endCxn id="40" idx="1"/>
        </xdr:cNvCxnSpPr>
      </xdr:nvCxnSpPr>
      <xdr:spPr>
        <a:xfrm flipV="1">
          <a:off x="1925821" y="35213139"/>
          <a:ext cx="787792" cy="648256"/>
        </a:xfrm>
        <a:prstGeom prst="straightConnector1">
          <a:avLst/>
        </a:prstGeom>
        <a:noFill/>
        <a:ln w="25400" cap="flat" cmpd="sng">
          <a:solidFill>
            <a:schemeClr val="dk1"/>
          </a:solidFill>
          <a:prstDash val="solid"/>
          <a:round/>
          <a:headEnd type="none" w="sm" len="sm"/>
          <a:tailEnd type="stealth" w="med" len="med"/>
        </a:ln>
        <a:effectLst>
          <a:outerShdw blurRad="40000" dist="20000" dir="5400000" rotWithShape="0">
            <a:srgbClr val="000000">
              <a:alpha val="37647"/>
            </a:srgbClr>
          </a:outerShdw>
        </a:effectLst>
      </xdr:spPr>
    </xdr:cxnSp>
    <xdr:clientData/>
  </xdr:twoCellAnchor>
  <xdr:twoCellAnchor>
    <xdr:from>
      <xdr:col>1</xdr:col>
      <xdr:colOff>1394908</xdr:colOff>
      <xdr:row>194</xdr:row>
      <xdr:rowOff>11060</xdr:rowOff>
    </xdr:from>
    <xdr:to>
      <xdr:col>1</xdr:col>
      <xdr:colOff>1908278</xdr:colOff>
      <xdr:row>195</xdr:row>
      <xdr:rowOff>136900</xdr:rowOff>
    </xdr:to>
    <xdr:sp macro="" textlink="">
      <xdr:nvSpPr>
        <xdr:cNvPr id="63" name="Google Shape;197;p3">
          <a:extLst>
            <a:ext uri="{FF2B5EF4-FFF2-40B4-BE49-F238E27FC236}">
              <a16:creationId xmlns:a16="http://schemas.microsoft.com/office/drawing/2014/main" id="{FC79373C-0A00-2239-02AA-359D39551C02}"/>
            </a:ext>
          </a:extLst>
        </xdr:cNvPr>
        <xdr:cNvSpPr txBox="1"/>
      </xdr:nvSpPr>
      <xdr:spPr>
        <a:xfrm>
          <a:off x="2000600" y="34965368"/>
          <a:ext cx="513370" cy="31145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fr-CA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60%</a:t>
          </a:r>
          <a:endParaRPr sz="1200"/>
        </a:p>
      </xdr:txBody>
    </xdr:sp>
    <xdr:clientData/>
  </xdr:twoCellAnchor>
  <xdr:twoCellAnchor>
    <xdr:from>
      <xdr:col>1</xdr:col>
      <xdr:colOff>0</xdr:colOff>
      <xdr:row>190</xdr:row>
      <xdr:rowOff>0</xdr:rowOff>
    </xdr:from>
    <xdr:to>
      <xdr:col>4</xdr:col>
      <xdr:colOff>665280</xdr:colOff>
      <xdr:row>209</xdr:row>
      <xdr:rowOff>133834</xdr:rowOff>
    </xdr:to>
    <xdr:sp macro="" textlink="">
      <xdr:nvSpPr>
        <xdr:cNvPr id="64" name="Google Shape;209;p3">
          <a:extLst>
            <a:ext uri="{FF2B5EF4-FFF2-40B4-BE49-F238E27FC236}">
              <a16:creationId xmlns:a16="http://schemas.microsoft.com/office/drawing/2014/main" id="{50007716-D3B2-5FE2-1B97-0496B0367E93}"/>
            </a:ext>
          </a:extLst>
        </xdr:cNvPr>
        <xdr:cNvSpPr/>
      </xdr:nvSpPr>
      <xdr:spPr>
        <a:xfrm>
          <a:off x="605692" y="34211846"/>
          <a:ext cx="5207973" cy="3660526"/>
        </a:xfrm>
        <a:prstGeom prst="rect">
          <a:avLst/>
        </a:prstGeom>
        <a:noFill/>
        <a:ln w="28575" cap="flat" cmpd="sng">
          <a:solidFill>
            <a:srgbClr val="009FBB"/>
          </a:solidFill>
          <a:prstDash val="dash"/>
          <a:round/>
          <a:headEnd type="none" w="sm" len="sm"/>
          <a:tailEnd type="none" w="sm" len="sm"/>
        </a:ln>
        <a:effectLst>
          <a:outerShdw blurRad="40000" dist="23000" dir="5400000" rotWithShape="0">
            <a:srgbClr val="000000">
              <a:alpha val="34901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algn="ctr"/>
          <a:endParaRPr sz="1600">
            <a:solidFill>
              <a:schemeClr val="lt1"/>
            </a:solidFill>
          </a:endParaRPr>
        </a:p>
      </xdr:txBody>
    </xdr:sp>
    <xdr:clientData/>
  </xdr:twoCellAnchor>
  <xdr:twoCellAnchor>
    <xdr:from>
      <xdr:col>1</xdr:col>
      <xdr:colOff>1512002</xdr:colOff>
      <xdr:row>210</xdr:row>
      <xdr:rowOff>35229</xdr:rowOff>
    </xdr:from>
    <xdr:to>
      <xdr:col>1</xdr:col>
      <xdr:colOff>2025372</xdr:colOff>
      <xdr:row>211</xdr:row>
      <xdr:rowOff>157350</xdr:rowOff>
    </xdr:to>
    <xdr:sp macro="" textlink="">
      <xdr:nvSpPr>
        <xdr:cNvPr id="65" name="Google Shape;198;p3">
          <a:extLst>
            <a:ext uri="{FF2B5EF4-FFF2-40B4-BE49-F238E27FC236}">
              <a16:creationId xmlns:a16="http://schemas.microsoft.com/office/drawing/2014/main" id="{178458C9-E57E-9226-9B74-D5EE64968517}"/>
            </a:ext>
          </a:extLst>
        </xdr:cNvPr>
        <xdr:cNvSpPr txBox="1"/>
      </xdr:nvSpPr>
      <xdr:spPr>
        <a:xfrm>
          <a:off x="2117694" y="37959383"/>
          <a:ext cx="513370" cy="30773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fr-CA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β%</a:t>
          </a:r>
          <a:endParaRPr sz="1200"/>
        </a:p>
      </xdr:txBody>
    </xdr:sp>
    <xdr:clientData/>
  </xdr:twoCellAnchor>
  <xdr:twoCellAnchor>
    <xdr:from>
      <xdr:col>1</xdr:col>
      <xdr:colOff>2134097</xdr:colOff>
      <xdr:row>210</xdr:row>
      <xdr:rowOff>100042</xdr:rowOff>
    </xdr:from>
    <xdr:to>
      <xdr:col>3</xdr:col>
      <xdr:colOff>736774</xdr:colOff>
      <xdr:row>213</xdr:row>
      <xdr:rowOff>16246</xdr:rowOff>
    </xdr:to>
    <xdr:sp macro="" textlink="">
      <xdr:nvSpPr>
        <xdr:cNvPr id="66" name="Google Shape;235;p3">
          <a:extLst>
            <a:ext uri="{FF2B5EF4-FFF2-40B4-BE49-F238E27FC236}">
              <a16:creationId xmlns:a16="http://schemas.microsoft.com/office/drawing/2014/main" id="{DCA9E9D6-6F1C-989E-B900-DD8C5043761E}"/>
            </a:ext>
          </a:extLst>
        </xdr:cNvPr>
        <xdr:cNvSpPr/>
      </xdr:nvSpPr>
      <xdr:spPr>
        <a:xfrm>
          <a:off x="2739789" y="38024196"/>
          <a:ext cx="1689754" cy="473050"/>
        </a:xfrm>
        <a:prstGeom prst="roundRect">
          <a:avLst>
            <a:gd name="adj" fmla="val 16667"/>
          </a:avLst>
        </a:prstGeom>
        <a:solidFill>
          <a:srgbClr val="009FBB"/>
        </a:solidFill>
        <a:ln w="9525" cap="flat" cmpd="sng">
          <a:solidFill>
            <a:srgbClr val="009EBA"/>
          </a:solidFill>
          <a:prstDash val="solid"/>
          <a:round/>
          <a:headEnd type="none" w="sm" len="sm"/>
          <a:tailEnd type="none" w="sm" len="sm"/>
        </a:ln>
        <a:effectLst>
          <a:outerShdw blurRad="40000" dist="23000" dir="5400000" rotWithShape="0">
            <a:srgbClr val="000000">
              <a:alpha val="34901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algn="ctr"/>
          <a:r>
            <a:rPr lang="fr-CA">
              <a:solidFill>
                <a:schemeClr val="lt1"/>
              </a:solidFill>
            </a:rPr>
            <a:t>Prod. Al primaire </a:t>
          </a:r>
          <a:r>
            <a:rPr lang="fr-CA" b="1" u="sng">
              <a:solidFill>
                <a:schemeClr val="lt1"/>
              </a:solidFill>
            </a:rPr>
            <a:t>évitée (négatif)</a:t>
          </a:r>
          <a:endParaRPr b="1" u="sng">
            <a:solidFill>
              <a:schemeClr val="lt1"/>
            </a:solidFill>
          </a:endParaRPr>
        </a:p>
      </xdr:txBody>
    </xdr:sp>
    <xdr:clientData/>
  </xdr:twoCellAnchor>
  <xdr:twoCellAnchor>
    <xdr:from>
      <xdr:col>1</xdr:col>
      <xdr:colOff>185340</xdr:colOff>
      <xdr:row>245</xdr:row>
      <xdr:rowOff>60711</xdr:rowOff>
    </xdr:from>
    <xdr:to>
      <xdr:col>1</xdr:col>
      <xdr:colOff>1324487</xdr:colOff>
      <xdr:row>247</xdr:row>
      <xdr:rowOff>131785</xdr:rowOff>
    </xdr:to>
    <xdr:sp macro="" textlink="">
      <xdr:nvSpPr>
        <xdr:cNvPr id="123" name="Google Shape;189;p3">
          <a:extLst>
            <a:ext uri="{FF2B5EF4-FFF2-40B4-BE49-F238E27FC236}">
              <a16:creationId xmlns:a16="http://schemas.microsoft.com/office/drawing/2014/main" id="{6CFB39D9-E7BF-20D4-84AD-5B5A363F6250}"/>
            </a:ext>
          </a:extLst>
        </xdr:cNvPr>
        <xdr:cNvSpPr/>
      </xdr:nvSpPr>
      <xdr:spPr>
        <a:xfrm>
          <a:off x="792559" y="46042649"/>
          <a:ext cx="1139147" cy="428261"/>
        </a:xfrm>
        <a:prstGeom prst="roundRect">
          <a:avLst>
            <a:gd name="adj" fmla="val 16667"/>
          </a:avLst>
        </a:prstGeom>
        <a:solidFill>
          <a:srgbClr val="009FBB"/>
        </a:solidFill>
        <a:ln w="9525" cap="flat" cmpd="sng">
          <a:solidFill>
            <a:srgbClr val="009EBA"/>
          </a:solidFill>
          <a:prstDash val="solid"/>
          <a:round/>
          <a:headEnd type="none" w="sm" len="sm"/>
          <a:tailEnd type="none" w="sm" len="sm"/>
        </a:ln>
        <a:effectLst>
          <a:outerShdw blurRad="40000" dist="23000" dir="5400000" rotWithShape="0">
            <a:srgbClr val="000000">
              <a:alpha val="34901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algn="ctr"/>
          <a:r>
            <a:rPr lang="fr-CA">
              <a:solidFill>
                <a:schemeClr val="lt1"/>
              </a:solidFill>
            </a:rPr>
            <a:t>Production Al primaire</a:t>
          </a:r>
          <a:endParaRPr>
            <a:solidFill>
              <a:schemeClr val="lt1"/>
            </a:solidFill>
          </a:endParaRPr>
        </a:p>
      </xdr:txBody>
    </xdr:sp>
    <xdr:clientData/>
  </xdr:twoCellAnchor>
  <xdr:twoCellAnchor>
    <xdr:from>
      <xdr:col>1</xdr:col>
      <xdr:colOff>2112279</xdr:colOff>
      <xdr:row>245</xdr:row>
      <xdr:rowOff>25135</xdr:rowOff>
    </xdr:from>
    <xdr:to>
      <xdr:col>3</xdr:col>
      <xdr:colOff>167708</xdr:colOff>
      <xdr:row>247</xdr:row>
      <xdr:rowOff>90216</xdr:rowOff>
    </xdr:to>
    <xdr:sp macro="" textlink="">
      <xdr:nvSpPr>
        <xdr:cNvPr id="124" name="Google Shape;190;p3">
          <a:extLst>
            <a:ext uri="{FF2B5EF4-FFF2-40B4-BE49-F238E27FC236}">
              <a16:creationId xmlns:a16="http://schemas.microsoft.com/office/drawing/2014/main" id="{D72BE8E8-988A-E8D5-CCA5-E3D9E85C9454}"/>
            </a:ext>
          </a:extLst>
        </xdr:cNvPr>
        <xdr:cNvSpPr/>
      </xdr:nvSpPr>
      <xdr:spPr>
        <a:xfrm>
          <a:off x="2719498" y="46007073"/>
          <a:ext cx="1139148" cy="422268"/>
        </a:xfrm>
        <a:prstGeom prst="roundRect">
          <a:avLst>
            <a:gd name="adj" fmla="val 16667"/>
          </a:avLst>
        </a:prstGeom>
        <a:solidFill>
          <a:srgbClr val="009FBB"/>
        </a:solidFill>
        <a:ln w="9525" cap="flat" cmpd="sng">
          <a:solidFill>
            <a:srgbClr val="009EBA"/>
          </a:solidFill>
          <a:prstDash val="solid"/>
          <a:round/>
          <a:headEnd type="none" w="sm" len="sm"/>
          <a:tailEnd type="none" w="sm" len="sm"/>
        </a:ln>
        <a:effectLst>
          <a:outerShdw blurRad="40000" dist="23000" dir="5400000" rotWithShape="0">
            <a:srgbClr val="000000">
              <a:alpha val="34901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algn="ctr"/>
          <a:r>
            <a:rPr lang="fr-CA">
              <a:solidFill>
                <a:schemeClr val="lt1"/>
              </a:solidFill>
            </a:rPr>
            <a:t>Production canette</a:t>
          </a:r>
          <a:endParaRPr sz="1200"/>
        </a:p>
      </xdr:txBody>
    </xdr:sp>
    <xdr:clientData/>
  </xdr:twoCellAnchor>
  <xdr:twoCellAnchor>
    <xdr:from>
      <xdr:col>1</xdr:col>
      <xdr:colOff>2129813</xdr:colOff>
      <xdr:row>257</xdr:row>
      <xdr:rowOff>65512</xdr:rowOff>
    </xdr:from>
    <xdr:to>
      <xdr:col>3</xdr:col>
      <xdr:colOff>136748</xdr:colOff>
      <xdr:row>259</xdr:row>
      <xdr:rowOff>75406</xdr:rowOff>
    </xdr:to>
    <xdr:sp macro="" textlink="">
      <xdr:nvSpPr>
        <xdr:cNvPr id="125" name="Google Shape;191;p3">
          <a:extLst>
            <a:ext uri="{FF2B5EF4-FFF2-40B4-BE49-F238E27FC236}">
              <a16:creationId xmlns:a16="http://schemas.microsoft.com/office/drawing/2014/main" id="{3FAA66A8-94D8-74C5-CB1E-88A406EE7A5B}"/>
            </a:ext>
          </a:extLst>
        </xdr:cNvPr>
        <xdr:cNvSpPr/>
      </xdr:nvSpPr>
      <xdr:spPr>
        <a:xfrm>
          <a:off x="2737032" y="48190575"/>
          <a:ext cx="1090654" cy="367081"/>
        </a:xfrm>
        <a:prstGeom prst="roundRect">
          <a:avLst>
            <a:gd name="adj" fmla="val 16667"/>
          </a:avLst>
        </a:prstGeom>
        <a:solidFill>
          <a:srgbClr val="009FBB"/>
        </a:solidFill>
        <a:ln w="9525" cap="flat" cmpd="sng">
          <a:solidFill>
            <a:srgbClr val="009EBA"/>
          </a:solidFill>
          <a:prstDash val="solid"/>
          <a:round/>
          <a:headEnd type="none" w="sm" len="sm"/>
          <a:tailEnd type="none" w="sm" len="sm"/>
        </a:ln>
        <a:effectLst>
          <a:outerShdw blurRad="40000" dist="23000" dir="5400000" rotWithShape="0">
            <a:srgbClr val="000000">
              <a:alpha val="34901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algn="ctr"/>
          <a:r>
            <a:rPr lang="fr-CA">
              <a:solidFill>
                <a:schemeClr val="lt1"/>
              </a:solidFill>
            </a:rPr>
            <a:t>Fin de vie</a:t>
          </a:r>
          <a:endParaRPr sz="1200"/>
        </a:p>
      </xdr:txBody>
    </xdr:sp>
    <xdr:clientData/>
  </xdr:twoCellAnchor>
  <xdr:twoCellAnchor>
    <xdr:from>
      <xdr:col>1</xdr:col>
      <xdr:colOff>205575</xdr:colOff>
      <xdr:row>257</xdr:row>
      <xdr:rowOff>142648</xdr:rowOff>
    </xdr:from>
    <xdr:to>
      <xdr:col>1</xdr:col>
      <xdr:colOff>1336080</xdr:colOff>
      <xdr:row>260</xdr:row>
      <xdr:rowOff>71670</xdr:rowOff>
    </xdr:to>
    <xdr:sp macro="" textlink="">
      <xdr:nvSpPr>
        <xdr:cNvPr id="126" name="Google Shape;192;p3">
          <a:extLst>
            <a:ext uri="{FF2B5EF4-FFF2-40B4-BE49-F238E27FC236}">
              <a16:creationId xmlns:a16="http://schemas.microsoft.com/office/drawing/2014/main" id="{32DBF837-52DD-E313-C987-4CAF07EB7082}"/>
            </a:ext>
          </a:extLst>
        </xdr:cNvPr>
        <xdr:cNvSpPr/>
      </xdr:nvSpPr>
      <xdr:spPr>
        <a:xfrm>
          <a:off x="812794" y="48267711"/>
          <a:ext cx="1130505" cy="464803"/>
        </a:xfrm>
        <a:prstGeom prst="roundRect">
          <a:avLst>
            <a:gd name="adj" fmla="val 16667"/>
          </a:avLst>
        </a:prstGeom>
        <a:solidFill>
          <a:srgbClr val="009FBB"/>
        </a:solidFill>
        <a:ln w="9525" cap="flat" cmpd="sng">
          <a:solidFill>
            <a:srgbClr val="009EBA"/>
          </a:solidFill>
          <a:prstDash val="dot"/>
          <a:round/>
          <a:headEnd type="none" w="sm" len="sm"/>
          <a:tailEnd type="none" w="sm" len="sm"/>
        </a:ln>
        <a:effectLst>
          <a:outerShdw blurRad="40000" dist="23000" dir="5400000" rotWithShape="0">
            <a:srgbClr val="000000">
              <a:alpha val="34901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algn="ctr"/>
          <a:r>
            <a:rPr lang="fr-CA">
              <a:solidFill>
                <a:schemeClr val="lt1"/>
              </a:solidFill>
            </a:rPr>
            <a:t>Mise en décharge</a:t>
          </a:r>
          <a:endParaRPr sz="1200"/>
        </a:p>
      </xdr:txBody>
    </xdr:sp>
    <xdr:clientData/>
  </xdr:twoCellAnchor>
  <xdr:twoCellAnchor>
    <xdr:from>
      <xdr:col>1</xdr:col>
      <xdr:colOff>175670</xdr:colOff>
      <xdr:row>242</xdr:row>
      <xdr:rowOff>0</xdr:rowOff>
    </xdr:from>
    <xdr:to>
      <xdr:col>1</xdr:col>
      <xdr:colOff>1324554</xdr:colOff>
      <xdr:row>244</xdr:row>
      <xdr:rowOff>81249</xdr:rowOff>
    </xdr:to>
    <xdr:sp macro="" textlink="">
      <xdr:nvSpPr>
        <xdr:cNvPr id="127" name="Google Shape;193;p3">
          <a:extLst>
            <a:ext uri="{FF2B5EF4-FFF2-40B4-BE49-F238E27FC236}">
              <a16:creationId xmlns:a16="http://schemas.microsoft.com/office/drawing/2014/main" id="{123580E2-41FA-52E7-1007-7F2C8046AA0F}"/>
            </a:ext>
          </a:extLst>
        </xdr:cNvPr>
        <xdr:cNvSpPr/>
      </xdr:nvSpPr>
      <xdr:spPr>
        <a:xfrm>
          <a:off x="782889" y="45446156"/>
          <a:ext cx="1148884" cy="438437"/>
        </a:xfrm>
        <a:prstGeom prst="roundRect">
          <a:avLst>
            <a:gd name="adj" fmla="val 16667"/>
          </a:avLst>
        </a:prstGeom>
        <a:solidFill>
          <a:srgbClr val="009FBB"/>
        </a:solidFill>
        <a:ln w="9525" cap="flat" cmpd="sng">
          <a:solidFill>
            <a:srgbClr val="009EBA"/>
          </a:solidFill>
          <a:prstDash val="solid"/>
          <a:round/>
          <a:headEnd type="none" w="sm" len="sm"/>
          <a:tailEnd type="none" w="sm" len="sm"/>
        </a:ln>
        <a:effectLst>
          <a:outerShdw blurRad="40000" dist="23000" dir="5400000" rotWithShape="0">
            <a:srgbClr val="000000">
              <a:alpha val="34901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marR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</a:pPr>
          <a:r>
            <a:rPr lang="fr-CA" sz="1400" b="0" i="0" u="none" strike="noStrike" cap="none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Recyclage Al</a:t>
          </a:r>
          <a:endParaRPr sz="1400" b="0" i="0" u="none" strike="noStrike" cap="none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1321312</xdr:colOff>
      <xdr:row>246</xdr:row>
      <xdr:rowOff>57676</xdr:rowOff>
    </xdr:from>
    <xdr:to>
      <xdr:col>1</xdr:col>
      <xdr:colOff>2112279</xdr:colOff>
      <xdr:row>246</xdr:row>
      <xdr:rowOff>97836</xdr:rowOff>
    </xdr:to>
    <xdr:cxnSp macro="">
      <xdr:nvCxnSpPr>
        <xdr:cNvPr id="128" name="Google Shape;194;p3">
          <a:extLst>
            <a:ext uri="{FF2B5EF4-FFF2-40B4-BE49-F238E27FC236}">
              <a16:creationId xmlns:a16="http://schemas.microsoft.com/office/drawing/2014/main" id="{97C7BC3D-59F9-971A-BA02-237FACD1EF25}"/>
            </a:ext>
          </a:extLst>
        </xdr:cNvPr>
        <xdr:cNvCxnSpPr>
          <a:cxnSpLocks/>
          <a:stCxn id="123" idx="3"/>
          <a:endCxn id="124" idx="1"/>
        </xdr:cNvCxnSpPr>
      </xdr:nvCxnSpPr>
      <xdr:spPr>
        <a:xfrm flipV="1">
          <a:off x="1928531" y="46218207"/>
          <a:ext cx="790967" cy="40160"/>
        </a:xfrm>
        <a:prstGeom prst="straightConnector1">
          <a:avLst/>
        </a:prstGeom>
        <a:noFill/>
        <a:ln w="25400" cap="flat" cmpd="sng">
          <a:solidFill>
            <a:schemeClr val="dk1"/>
          </a:solidFill>
          <a:prstDash val="solid"/>
          <a:round/>
          <a:headEnd type="none" w="sm" len="sm"/>
          <a:tailEnd type="stealth" w="med" len="med"/>
        </a:ln>
        <a:effectLst>
          <a:outerShdw blurRad="40000" dist="20000" dir="5400000" rotWithShape="0">
            <a:srgbClr val="000000">
              <a:alpha val="37647"/>
            </a:srgbClr>
          </a:outerShdw>
        </a:effectLst>
      </xdr:spPr>
    </xdr:cxnSp>
    <xdr:clientData/>
  </xdr:twoCellAnchor>
  <xdr:twoCellAnchor>
    <xdr:from>
      <xdr:col>1</xdr:col>
      <xdr:colOff>205575</xdr:colOff>
      <xdr:row>261</xdr:row>
      <xdr:rowOff>157393</xdr:rowOff>
    </xdr:from>
    <xdr:to>
      <xdr:col>1</xdr:col>
      <xdr:colOff>1344722</xdr:colOff>
      <xdr:row>264</xdr:row>
      <xdr:rowOff>98175</xdr:rowOff>
    </xdr:to>
    <xdr:sp macro="" textlink="">
      <xdr:nvSpPr>
        <xdr:cNvPr id="129" name="Google Shape;195;p3">
          <a:extLst>
            <a:ext uri="{FF2B5EF4-FFF2-40B4-BE49-F238E27FC236}">
              <a16:creationId xmlns:a16="http://schemas.microsoft.com/office/drawing/2014/main" id="{FEC39747-923E-4B3B-0021-EBD6626E4313}"/>
            </a:ext>
          </a:extLst>
        </xdr:cNvPr>
        <xdr:cNvSpPr/>
      </xdr:nvSpPr>
      <xdr:spPr>
        <a:xfrm>
          <a:off x="812794" y="48996831"/>
          <a:ext cx="1139147" cy="476563"/>
        </a:xfrm>
        <a:prstGeom prst="roundRect">
          <a:avLst>
            <a:gd name="adj" fmla="val 16667"/>
          </a:avLst>
        </a:prstGeom>
        <a:solidFill>
          <a:srgbClr val="7030A0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  <a:effectLst>
          <a:outerShdw blurRad="40000" dist="23000" dir="5400000" rotWithShape="0">
            <a:srgbClr val="000000">
              <a:alpha val="34901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algn="ctr"/>
          <a:r>
            <a:rPr lang="fr-CA">
              <a:solidFill>
                <a:schemeClr val="lt1"/>
              </a:solidFill>
            </a:rPr>
            <a:t>Recyclage Al</a:t>
          </a:r>
          <a:endParaRPr sz="1200"/>
        </a:p>
      </xdr:txBody>
    </xdr:sp>
    <xdr:clientData/>
  </xdr:twoCellAnchor>
  <xdr:twoCellAnchor>
    <xdr:from>
      <xdr:col>1</xdr:col>
      <xdr:colOff>1321379</xdr:colOff>
      <xdr:row>243</xdr:row>
      <xdr:rowOff>42212</xdr:rowOff>
    </xdr:from>
    <xdr:to>
      <xdr:col>1</xdr:col>
      <xdr:colOff>2112279</xdr:colOff>
      <xdr:row>246</xdr:row>
      <xdr:rowOff>57676</xdr:rowOff>
    </xdr:to>
    <xdr:cxnSp macro="">
      <xdr:nvCxnSpPr>
        <xdr:cNvPr id="130" name="Google Shape;196;p3">
          <a:extLst>
            <a:ext uri="{FF2B5EF4-FFF2-40B4-BE49-F238E27FC236}">
              <a16:creationId xmlns:a16="http://schemas.microsoft.com/office/drawing/2014/main" id="{5E4559BB-92A8-74EB-6486-0A364548656D}"/>
            </a:ext>
          </a:extLst>
        </xdr:cNvPr>
        <xdr:cNvCxnSpPr>
          <a:cxnSpLocks/>
          <a:stCxn id="127" idx="3"/>
          <a:endCxn id="124" idx="1"/>
        </xdr:cNvCxnSpPr>
      </xdr:nvCxnSpPr>
      <xdr:spPr>
        <a:xfrm>
          <a:off x="1928598" y="45666962"/>
          <a:ext cx="790900" cy="551245"/>
        </a:xfrm>
        <a:prstGeom prst="straightConnector1">
          <a:avLst/>
        </a:prstGeom>
        <a:noFill/>
        <a:ln w="25400" cap="flat" cmpd="sng">
          <a:solidFill>
            <a:schemeClr val="dk1"/>
          </a:solidFill>
          <a:prstDash val="solid"/>
          <a:round/>
          <a:headEnd type="none" w="sm" len="sm"/>
          <a:tailEnd type="stealth" w="med" len="med"/>
        </a:ln>
        <a:effectLst>
          <a:outerShdw blurRad="40000" dist="20000" dir="5400000" rotWithShape="0">
            <a:srgbClr val="000000">
              <a:alpha val="37647"/>
            </a:srgbClr>
          </a:outerShdw>
        </a:effectLst>
      </xdr:spPr>
    </xdr:cxnSp>
    <xdr:clientData/>
  </xdr:twoCellAnchor>
  <xdr:twoCellAnchor>
    <xdr:from>
      <xdr:col>1</xdr:col>
      <xdr:colOff>1407141</xdr:colOff>
      <xdr:row>242</xdr:row>
      <xdr:rowOff>26778</xdr:rowOff>
    </xdr:from>
    <xdr:to>
      <xdr:col>1</xdr:col>
      <xdr:colOff>1920511</xdr:colOff>
      <xdr:row>243</xdr:row>
      <xdr:rowOff>155920</xdr:rowOff>
    </xdr:to>
    <xdr:sp macro="" textlink="">
      <xdr:nvSpPr>
        <xdr:cNvPr id="131" name="Google Shape;197;p3">
          <a:extLst>
            <a:ext uri="{FF2B5EF4-FFF2-40B4-BE49-F238E27FC236}">
              <a16:creationId xmlns:a16="http://schemas.microsoft.com/office/drawing/2014/main" id="{3F4C0E27-504D-B348-04D0-B5DDE4E06125}"/>
            </a:ext>
          </a:extLst>
        </xdr:cNvPr>
        <xdr:cNvSpPr txBox="1"/>
      </xdr:nvSpPr>
      <xdr:spPr>
        <a:xfrm>
          <a:off x="2014360" y="45472934"/>
          <a:ext cx="513370" cy="30773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fr-CA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x%</a:t>
          </a:r>
          <a:endParaRPr sz="1200"/>
        </a:p>
      </xdr:txBody>
    </xdr:sp>
    <xdr:clientData/>
  </xdr:twoCellAnchor>
  <xdr:twoCellAnchor>
    <xdr:from>
      <xdr:col>1</xdr:col>
      <xdr:colOff>1436788</xdr:colOff>
      <xdr:row>259</xdr:row>
      <xdr:rowOff>151777</xdr:rowOff>
    </xdr:from>
    <xdr:to>
      <xdr:col>1</xdr:col>
      <xdr:colOff>1950158</xdr:colOff>
      <xdr:row>261</xdr:row>
      <xdr:rowOff>102325</xdr:rowOff>
    </xdr:to>
    <xdr:sp macro="" textlink="">
      <xdr:nvSpPr>
        <xdr:cNvPr id="132" name="Google Shape;198;p3">
          <a:extLst>
            <a:ext uri="{FF2B5EF4-FFF2-40B4-BE49-F238E27FC236}">
              <a16:creationId xmlns:a16="http://schemas.microsoft.com/office/drawing/2014/main" id="{69E4248F-4F4F-C925-9E57-BADD53AFBB41}"/>
            </a:ext>
          </a:extLst>
        </xdr:cNvPr>
        <xdr:cNvSpPr txBox="1"/>
      </xdr:nvSpPr>
      <xdr:spPr>
        <a:xfrm>
          <a:off x="2044007" y="48634027"/>
          <a:ext cx="513370" cy="30773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fr-CA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80%</a:t>
          </a:r>
          <a:endParaRPr sz="1200"/>
        </a:p>
      </xdr:txBody>
    </xdr:sp>
    <xdr:clientData/>
  </xdr:twoCellAnchor>
  <xdr:twoCellAnchor>
    <xdr:from>
      <xdr:col>3</xdr:col>
      <xdr:colOff>749526</xdr:colOff>
      <xdr:row>250</xdr:row>
      <xdr:rowOff>153803</xdr:rowOff>
    </xdr:from>
    <xdr:to>
      <xdr:col>4</xdr:col>
      <xdr:colOff>544793</xdr:colOff>
      <xdr:row>253</xdr:row>
      <xdr:rowOff>174619</xdr:rowOff>
    </xdr:to>
    <xdr:sp macro="" textlink="">
      <xdr:nvSpPr>
        <xdr:cNvPr id="133" name="Google Shape;199;p3">
          <a:extLst>
            <a:ext uri="{FF2B5EF4-FFF2-40B4-BE49-F238E27FC236}">
              <a16:creationId xmlns:a16="http://schemas.microsoft.com/office/drawing/2014/main" id="{7E7CB283-0FD8-49AA-563C-071B1114E03C}"/>
            </a:ext>
          </a:extLst>
        </xdr:cNvPr>
        <xdr:cNvSpPr/>
      </xdr:nvSpPr>
      <xdr:spPr>
        <a:xfrm>
          <a:off x="4440464" y="47028709"/>
          <a:ext cx="1247829" cy="556598"/>
        </a:xfrm>
        <a:prstGeom prst="roundRect">
          <a:avLst>
            <a:gd name="adj" fmla="val 16667"/>
          </a:avLst>
        </a:prstGeom>
        <a:solidFill>
          <a:srgbClr val="009FBB"/>
        </a:solidFill>
        <a:ln w="9525" cap="flat" cmpd="sng">
          <a:solidFill>
            <a:srgbClr val="009EBA"/>
          </a:solidFill>
          <a:prstDash val="solid"/>
          <a:round/>
          <a:headEnd type="none" w="sm" len="sm"/>
          <a:tailEnd type="none" w="sm" len="sm"/>
        </a:ln>
        <a:effectLst>
          <a:outerShdw blurRad="40000" dist="23000" dir="5400000" rotWithShape="0">
            <a:srgbClr val="000000">
              <a:alpha val="34901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algn="ctr"/>
          <a:r>
            <a:rPr lang="fr-CA">
              <a:solidFill>
                <a:schemeClr val="lt1"/>
              </a:solidFill>
            </a:rPr>
            <a:t>Prod. Canette thé froid</a:t>
          </a:r>
          <a:endParaRPr sz="1200"/>
        </a:p>
      </xdr:txBody>
    </xdr:sp>
    <xdr:clientData/>
  </xdr:twoCellAnchor>
  <xdr:twoCellAnchor>
    <xdr:from>
      <xdr:col>3</xdr:col>
      <xdr:colOff>164533</xdr:colOff>
      <xdr:row>246</xdr:row>
      <xdr:rowOff>57676</xdr:rowOff>
    </xdr:from>
    <xdr:to>
      <xdr:col>3</xdr:col>
      <xdr:colOff>752701</xdr:colOff>
      <xdr:row>252</xdr:row>
      <xdr:rowOff>74914</xdr:rowOff>
    </xdr:to>
    <xdr:cxnSp macro="">
      <xdr:nvCxnSpPr>
        <xdr:cNvPr id="134" name="Google Shape;200;p3">
          <a:extLst>
            <a:ext uri="{FF2B5EF4-FFF2-40B4-BE49-F238E27FC236}">
              <a16:creationId xmlns:a16="http://schemas.microsoft.com/office/drawing/2014/main" id="{60E99CE3-49EE-699B-279A-11ED5FD29320}"/>
            </a:ext>
          </a:extLst>
        </xdr:cNvPr>
        <xdr:cNvCxnSpPr>
          <a:cxnSpLocks/>
          <a:stCxn id="124" idx="3"/>
          <a:endCxn id="133" idx="1"/>
        </xdr:cNvCxnSpPr>
      </xdr:nvCxnSpPr>
      <xdr:spPr>
        <a:xfrm>
          <a:off x="3855471" y="46218207"/>
          <a:ext cx="588168" cy="1088801"/>
        </a:xfrm>
        <a:prstGeom prst="straightConnector1">
          <a:avLst/>
        </a:prstGeom>
        <a:noFill/>
        <a:ln w="25400" cap="flat" cmpd="sng">
          <a:solidFill>
            <a:schemeClr val="dk1"/>
          </a:solidFill>
          <a:prstDash val="solid"/>
          <a:round/>
          <a:headEnd type="none" w="sm" len="sm"/>
          <a:tailEnd type="stealth" w="med" len="med"/>
        </a:ln>
        <a:effectLst>
          <a:outerShdw blurRad="40000" dist="20000" dir="5400000" rotWithShape="0">
            <a:srgbClr val="000000">
              <a:alpha val="37647"/>
            </a:srgbClr>
          </a:outerShdw>
        </a:effectLst>
      </xdr:spPr>
    </xdr:cxnSp>
    <xdr:clientData/>
  </xdr:twoCellAnchor>
  <xdr:twoCellAnchor>
    <xdr:from>
      <xdr:col>1</xdr:col>
      <xdr:colOff>1341547</xdr:colOff>
      <xdr:row>263</xdr:row>
      <xdr:rowOff>40075</xdr:rowOff>
    </xdr:from>
    <xdr:to>
      <xdr:col>1</xdr:col>
      <xdr:colOff>2126638</xdr:colOff>
      <xdr:row>263</xdr:row>
      <xdr:rowOff>68423</xdr:rowOff>
    </xdr:to>
    <xdr:cxnSp macro="">
      <xdr:nvCxnSpPr>
        <xdr:cNvPr id="135" name="Google Shape;205;p3">
          <a:extLst>
            <a:ext uri="{FF2B5EF4-FFF2-40B4-BE49-F238E27FC236}">
              <a16:creationId xmlns:a16="http://schemas.microsoft.com/office/drawing/2014/main" id="{3A0F1A3C-B78E-B562-2D35-9A1BF7030E34}"/>
            </a:ext>
          </a:extLst>
        </xdr:cNvPr>
        <xdr:cNvCxnSpPr>
          <a:cxnSpLocks/>
          <a:stCxn id="129" idx="3"/>
          <a:endCxn id="142" idx="1"/>
        </xdr:cNvCxnSpPr>
      </xdr:nvCxnSpPr>
      <xdr:spPr>
        <a:xfrm>
          <a:off x="1948766" y="49236700"/>
          <a:ext cx="785091" cy="28348"/>
        </a:xfrm>
        <a:prstGeom prst="straightConnector1">
          <a:avLst/>
        </a:prstGeom>
        <a:noFill/>
        <a:ln w="25400" cap="flat" cmpd="sng">
          <a:solidFill>
            <a:schemeClr val="dk1"/>
          </a:solidFill>
          <a:prstDash val="solid"/>
          <a:round/>
          <a:headEnd type="none" w="sm" len="sm"/>
          <a:tailEnd type="stealth" w="med" len="med"/>
        </a:ln>
        <a:effectLst>
          <a:outerShdw blurRad="40000" dist="20000" dir="5400000" rotWithShape="0">
            <a:srgbClr val="000000">
              <a:alpha val="37647"/>
            </a:srgbClr>
          </a:outerShdw>
        </a:effectLst>
      </xdr:spPr>
    </xdr:cxnSp>
    <xdr:clientData/>
  </xdr:twoCellAnchor>
  <xdr:twoCellAnchor>
    <xdr:from>
      <xdr:col>1</xdr:col>
      <xdr:colOff>1341547</xdr:colOff>
      <xdr:row>258</xdr:row>
      <xdr:rowOff>72047</xdr:rowOff>
    </xdr:from>
    <xdr:to>
      <xdr:col>1</xdr:col>
      <xdr:colOff>2126638</xdr:colOff>
      <xdr:row>263</xdr:row>
      <xdr:rowOff>40075</xdr:rowOff>
    </xdr:to>
    <xdr:cxnSp macro="">
      <xdr:nvCxnSpPr>
        <xdr:cNvPr id="136" name="Google Shape;206;p3">
          <a:extLst>
            <a:ext uri="{FF2B5EF4-FFF2-40B4-BE49-F238E27FC236}">
              <a16:creationId xmlns:a16="http://schemas.microsoft.com/office/drawing/2014/main" id="{5448A42C-CA38-FF92-979C-0B41E6B97D2C}"/>
            </a:ext>
          </a:extLst>
        </xdr:cNvPr>
        <xdr:cNvCxnSpPr>
          <a:cxnSpLocks/>
          <a:stCxn id="129" idx="3"/>
          <a:endCxn id="125" idx="1"/>
        </xdr:cNvCxnSpPr>
      </xdr:nvCxnSpPr>
      <xdr:spPr>
        <a:xfrm flipV="1">
          <a:off x="1948766" y="48375703"/>
          <a:ext cx="785091" cy="860997"/>
        </a:xfrm>
        <a:prstGeom prst="straightConnector1">
          <a:avLst/>
        </a:prstGeom>
        <a:noFill/>
        <a:ln w="25400" cap="flat" cmpd="sng">
          <a:solidFill>
            <a:schemeClr val="dk1"/>
          </a:solidFill>
          <a:prstDash val="solid"/>
          <a:round/>
          <a:headEnd type="none" w="sm" len="sm"/>
          <a:tailEnd type="stealth" w="med" len="med"/>
        </a:ln>
        <a:effectLst>
          <a:outerShdw blurRad="40000" dist="20000" dir="5400000" rotWithShape="0">
            <a:srgbClr val="000000">
              <a:alpha val="37647"/>
            </a:srgbClr>
          </a:outerShdw>
        </a:effectLst>
      </xdr:spPr>
    </xdr:cxnSp>
    <xdr:clientData/>
  </xdr:twoCellAnchor>
  <xdr:twoCellAnchor>
    <xdr:from>
      <xdr:col>1</xdr:col>
      <xdr:colOff>1336080</xdr:colOff>
      <xdr:row>258</xdr:row>
      <xdr:rowOff>72047</xdr:rowOff>
    </xdr:from>
    <xdr:to>
      <xdr:col>1</xdr:col>
      <xdr:colOff>2126638</xdr:colOff>
      <xdr:row>259</xdr:row>
      <xdr:rowOff>17863</xdr:rowOff>
    </xdr:to>
    <xdr:cxnSp macro="">
      <xdr:nvCxnSpPr>
        <xdr:cNvPr id="137" name="Google Shape;207;p3">
          <a:extLst>
            <a:ext uri="{FF2B5EF4-FFF2-40B4-BE49-F238E27FC236}">
              <a16:creationId xmlns:a16="http://schemas.microsoft.com/office/drawing/2014/main" id="{D5CD459F-5F1A-E68F-6C0B-7345EE3EF040}"/>
            </a:ext>
          </a:extLst>
        </xdr:cNvPr>
        <xdr:cNvCxnSpPr>
          <a:stCxn id="126" idx="3"/>
          <a:endCxn id="125" idx="1"/>
        </xdr:cNvCxnSpPr>
      </xdr:nvCxnSpPr>
      <xdr:spPr>
        <a:xfrm flipV="1">
          <a:off x="1943299" y="48375703"/>
          <a:ext cx="790558" cy="124410"/>
        </a:xfrm>
        <a:prstGeom prst="straightConnector1">
          <a:avLst/>
        </a:prstGeom>
        <a:noFill/>
        <a:ln w="25400" cap="flat" cmpd="sng">
          <a:solidFill>
            <a:schemeClr val="dk1"/>
          </a:solidFill>
          <a:prstDash val="solid"/>
          <a:round/>
          <a:headEnd type="none" w="sm" len="sm"/>
          <a:tailEnd type="stealth" w="med" len="med"/>
        </a:ln>
        <a:effectLst>
          <a:outerShdw blurRad="40000" dist="20000" dir="5400000" rotWithShape="0">
            <a:srgbClr val="000000">
              <a:alpha val="37647"/>
            </a:srgbClr>
          </a:outerShdw>
        </a:effectLst>
      </xdr:spPr>
    </xdr:cxnSp>
    <xdr:clientData/>
  </xdr:twoCellAnchor>
  <xdr:twoCellAnchor>
    <xdr:from>
      <xdr:col>3</xdr:col>
      <xdr:colOff>139923</xdr:colOff>
      <xdr:row>252</xdr:row>
      <xdr:rowOff>74914</xdr:rowOff>
    </xdr:from>
    <xdr:to>
      <xdr:col>3</xdr:col>
      <xdr:colOff>752701</xdr:colOff>
      <xdr:row>258</xdr:row>
      <xdr:rowOff>72047</xdr:rowOff>
    </xdr:to>
    <xdr:cxnSp macro="">
      <xdr:nvCxnSpPr>
        <xdr:cNvPr id="138" name="Google Shape;208;p3">
          <a:extLst>
            <a:ext uri="{FF2B5EF4-FFF2-40B4-BE49-F238E27FC236}">
              <a16:creationId xmlns:a16="http://schemas.microsoft.com/office/drawing/2014/main" id="{DE2A9CCA-4969-8437-5700-14BE8AAC9A1B}"/>
            </a:ext>
          </a:extLst>
        </xdr:cNvPr>
        <xdr:cNvCxnSpPr>
          <a:cxnSpLocks/>
          <a:stCxn id="125" idx="3"/>
          <a:endCxn id="133" idx="1"/>
        </xdr:cNvCxnSpPr>
      </xdr:nvCxnSpPr>
      <xdr:spPr>
        <a:xfrm flipV="1">
          <a:off x="3830861" y="47307008"/>
          <a:ext cx="612778" cy="1068695"/>
        </a:xfrm>
        <a:prstGeom prst="straightConnector1">
          <a:avLst/>
        </a:prstGeom>
        <a:noFill/>
        <a:ln w="25400" cap="flat" cmpd="sng">
          <a:solidFill>
            <a:schemeClr val="dk1"/>
          </a:solidFill>
          <a:prstDash val="solid"/>
          <a:round/>
          <a:headEnd type="none" w="sm" len="sm"/>
          <a:tailEnd type="stealth" w="med" len="med"/>
        </a:ln>
        <a:effectLst>
          <a:outerShdw blurRad="40000" dist="20000" dir="5400000" rotWithShape="0">
            <a:srgbClr val="000000">
              <a:alpha val="37647"/>
            </a:srgbClr>
          </a:outerShdw>
        </a:effectLst>
      </xdr:spPr>
    </xdr:cxnSp>
    <xdr:clientData/>
  </xdr:twoCellAnchor>
  <xdr:twoCellAnchor>
    <xdr:from>
      <xdr:col>1</xdr:col>
      <xdr:colOff>0</xdr:colOff>
      <xdr:row>244</xdr:row>
      <xdr:rowOff>167092</xdr:rowOff>
    </xdr:from>
    <xdr:to>
      <xdr:col>4</xdr:col>
      <xdr:colOff>671692</xdr:colOff>
      <xdr:row>265</xdr:row>
      <xdr:rowOff>77149</xdr:rowOff>
    </xdr:to>
    <xdr:sp macro="" textlink="">
      <xdr:nvSpPr>
        <xdr:cNvPr id="139" name="Google Shape;209;p3">
          <a:extLst>
            <a:ext uri="{FF2B5EF4-FFF2-40B4-BE49-F238E27FC236}">
              <a16:creationId xmlns:a16="http://schemas.microsoft.com/office/drawing/2014/main" id="{0B1CEBA2-3DE5-4534-13A3-D9143EFBE031}"/>
            </a:ext>
          </a:extLst>
        </xdr:cNvPr>
        <xdr:cNvSpPr/>
      </xdr:nvSpPr>
      <xdr:spPr>
        <a:xfrm>
          <a:off x="607219" y="45970436"/>
          <a:ext cx="5207973" cy="3660526"/>
        </a:xfrm>
        <a:prstGeom prst="rect">
          <a:avLst/>
        </a:prstGeom>
        <a:noFill/>
        <a:ln w="28575" cap="flat" cmpd="sng">
          <a:solidFill>
            <a:srgbClr val="009FBB"/>
          </a:solidFill>
          <a:prstDash val="dash"/>
          <a:round/>
          <a:headEnd type="none" w="sm" len="sm"/>
          <a:tailEnd type="none" w="sm" len="sm"/>
        </a:ln>
        <a:effectLst>
          <a:outerShdw blurRad="40000" dist="23000" dir="5400000" rotWithShape="0">
            <a:srgbClr val="000000">
              <a:alpha val="34901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algn="ctr"/>
          <a:endParaRPr sz="1600">
            <a:solidFill>
              <a:schemeClr val="lt1"/>
            </a:solidFill>
          </a:endParaRPr>
        </a:p>
      </xdr:txBody>
    </xdr:sp>
    <xdr:clientData/>
  </xdr:twoCellAnchor>
  <xdr:twoCellAnchor>
    <xdr:from>
      <xdr:col>4</xdr:col>
      <xdr:colOff>541618</xdr:colOff>
      <xdr:row>252</xdr:row>
      <xdr:rowOff>74914</xdr:rowOff>
    </xdr:from>
    <xdr:to>
      <xdr:col>5</xdr:col>
      <xdr:colOff>85313</xdr:colOff>
      <xdr:row>252</xdr:row>
      <xdr:rowOff>74914</xdr:rowOff>
    </xdr:to>
    <xdr:cxnSp macro="">
      <xdr:nvCxnSpPr>
        <xdr:cNvPr id="140" name="Google Shape;210;p3">
          <a:extLst>
            <a:ext uri="{FF2B5EF4-FFF2-40B4-BE49-F238E27FC236}">
              <a16:creationId xmlns:a16="http://schemas.microsoft.com/office/drawing/2014/main" id="{4BDA067D-C45C-994E-9211-662F4458B6BF}"/>
            </a:ext>
          </a:extLst>
        </xdr:cNvPr>
        <xdr:cNvCxnSpPr>
          <a:cxnSpLocks/>
          <a:stCxn id="133" idx="3"/>
        </xdr:cNvCxnSpPr>
      </xdr:nvCxnSpPr>
      <xdr:spPr>
        <a:xfrm>
          <a:off x="5685118" y="47307008"/>
          <a:ext cx="377133" cy="0"/>
        </a:xfrm>
        <a:prstGeom prst="straightConnector1">
          <a:avLst/>
        </a:prstGeom>
        <a:noFill/>
        <a:ln w="25400" cap="flat" cmpd="sng">
          <a:solidFill>
            <a:schemeClr val="dk1"/>
          </a:solidFill>
          <a:prstDash val="solid"/>
          <a:round/>
          <a:headEnd type="none" w="sm" len="sm"/>
          <a:tailEnd type="stealth" w="med" len="med"/>
        </a:ln>
        <a:effectLst>
          <a:outerShdw blurRad="40000" dist="20000" dir="5400000" rotWithShape="0">
            <a:srgbClr val="000000">
              <a:alpha val="37647"/>
            </a:srgbClr>
          </a:outerShdw>
        </a:effectLst>
      </xdr:spPr>
    </xdr:cxnSp>
    <xdr:clientData/>
  </xdr:twoCellAnchor>
  <xdr:twoCellAnchor>
    <xdr:from>
      <xdr:col>1</xdr:col>
      <xdr:colOff>1443045</xdr:colOff>
      <xdr:row>257</xdr:row>
      <xdr:rowOff>68425</xdr:rowOff>
    </xdr:from>
    <xdr:to>
      <xdr:col>1</xdr:col>
      <xdr:colOff>1956415</xdr:colOff>
      <xdr:row>259</xdr:row>
      <xdr:rowOff>18974</xdr:rowOff>
    </xdr:to>
    <xdr:sp macro="" textlink="">
      <xdr:nvSpPr>
        <xdr:cNvPr id="141" name="Google Shape;233;p3">
          <a:extLst>
            <a:ext uri="{FF2B5EF4-FFF2-40B4-BE49-F238E27FC236}">
              <a16:creationId xmlns:a16="http://schemas.microsoft.com/office/drawing/2014/main" id="{895D2F65-D105-275E-1B23-0B240C1E6D88}"/>
            </a:ext>
          </a:extLst>
        </xdr:cNvPr>
        <xdr:cNvSpPr txBox="1"/>
      </xdr:nvSpPr>
      <xdr:spPr>
        <a:xfrm>
          <a:off x="2050264" y="48193488"/>
          <a:ext cx="513370" cy="30773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fr-CH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20</a:t>
          </a:r>
          <a:r>
            <a:rPr lang="fr-CA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%</a:t>
          </a:r>
          <a:endParaRPr sz="1200"/>
        </a:p>
      </xdr:txBody>
    </xdr:sp>
    <xdr:clientData/>
  </xdr:twoCellAnchor>
  <xdr:twoCellAnchor>
    <xdr:from>
      <xdr:col>1</xdr:col>
      <xdr:colOff>2129813</xdr:colOff>
      <xdr:row>262</xdr:row>
      <xdr:rowOff>7317</xdr:rowOff>
    </xdr:from>
    <xdr:to>
      <xdr:col>3</xdr:col>
      <xdr:colOff>735848</xdr:colOff>
      <xdr:row>264</xdr:row>
      <xdr:rowOff>123179</xdr:rowOff>
    </xdr:to>
    <xdr:sp macro="" textlink="">
      <xdr:nvSpPr>
        <xdr:cNvPr id="142" name="Google Shape;235;p3">
          <a:extLst>
            <a:ext uri="{FF2B5EF4-FFF2-40B4-BE49-F238E27FC236}">
              <a16:creationId xmlns:a16="http://schemas.microsoft.com/office/drawing/2014/main" id="{BE29DA2B-351C-EC2C-94FD-BDF91F6FB0EB}"/>
            </a:ext>
          </a:extLst>
        </xdr:cNvPr>
        <xdr:cNvSpPr/>
      </xdr:nvSpPr>
      <xdr:spPr>
        <a:xfrm>
          <a:off x="2737032" y="49025348"/>
          <a:ext cx="1689754" cy="473050"/>
        </a:xfrm>
        <a:prstGeom prst="roundRect">
          <a:avLst>
            <a:gd name="adj" fmla="val 16667"/>
          </a:avLst>
        </a:prstGeom>
        <a:solidFill>
          <a:srgbClr val="009FBB"/>
        </a:solidFill>
        <a:ln w="9525" cap="flat" cmpd="sng">
          <a:solidFill>
            <a:srgbClr val="009EBA"/>
          </a:solidFill>
          <a:prstDash val="solid"/>
          <a:round/>
          <a:headEnd type="none" w="sm" len="sm"/>
          <a:tailEnd type="none" w="sm" len="sm"/>
        </a:ln>
        <a:effectLst>
          <a:outerShdw blurRad="40000" dist="23000" dir="5400000" rotWithShape="0">
            <a:srgbClr val="000000">
              <a:alpha val="34901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algn="ctr"/>
          <a:r>
            <a:rPr lang="fr-CA">
              <a:solidFill>
                <a:schemeClr val="lt1"/>
              </a:solidFill>
            </a:rPr>
            <a:t>Prod. Al primaire </a:t>
          </a:r>
          <a:r>
            <a:rPr lang="fr-CA" b="1" u="sng">
              <a:solidFill>
                <a:schemeClr val="lt1"/>
              </a:solidFill>
            </a:rPr>
            <a:t>évitée (négatif)</a:t>
          </a:r>
          <a:endParaRPr b="1" u="sng">
            <a:solidFill>
              <a:schemeClr val="lt1"/>
            </a:solidFill>
          </a:endParaRPr>
        </a:p>
      </xdr:txBody>
    </xdr:sp>
    <xdr:clientData/>
  </xdr:twoCellAnchor>
  <xdr:twoCellAnchor>
    <xdr:from>
      <xdr:col>1</xdr:col>
      <xdr:colOff>185340</xdr:colOff>
      <xdr:row>248</xdr:row>
      <xdr:rowOff>116342</xdr:rowOff>
    </xdr:from>
    <xdr:to>
      <xdr:col>1</xdr:col>
      <xdr:colOff>1324487</xdr:colOff>
      <xdr:row>251</xdr:row>
      <xdr:rowOff>45364</xdr:rowOff>
    </xdr:to>
    <xdr:sp macro="" textlink="">
      <xdr:nvSpPr>
        <xdr:cNvPr id="143" name="Google Shape;189;p3">
          <a:extLst>
            <a:ext uri="{FF2B5EF4-FFF2-40B4-BE49-F238E27FC236}">
              <a16:creationId xmlns:a16="http://schemas.microsoft.com/office/drawing/2014/main" id="{D2758B62-1853-33B4-EBD4-DA361D4C4E6D}"/>
            </a:ext>
          </a:extLst>
        </xdr:cNvPr>
        <xdr:cNvSpPr/>
      </xdr:nvSpPr>
      <xdr:spPr>
        <a:xfrm>
          <a:off x="792559" y="46634061"/>
          <a:ext cx="1139147" cy="464803"/>
        </a:xfrm>
        <a:prstGeom prst="roundRect">
          <a:avLst>
            <a:gd name="adj" fmla="val 16667"/>
          </a:avLst>
        </a:prstGeom>
        <a:solidFill>
          <a:srgbClr val="009FBB"/>
        </a:solidFill>
        <a:ln w="9525" cap="flat" cmpd="sng">
          <a:solidFill>
            <a:srgbClr val="009EBA"/>
          </a:solidFill>
          <a:prstDash val="solid"/>
          <a:round/>
          <a:headEnd type="none" w="sm" len="sm"/>
          <a:tailEnd type="none" w="sm" len="sm"/>
        </a:ln>
        <a:effectLst>
          <a:outerShdw blurRad="40000" dist="23000" dir="5400000" rotWithShape="0">
            <a:srgbClr val="000000">
              <a:alpha val="34901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algn="ctr"/>
          <a:r>
            <a:rPr lang="fr-CA">
              <a:solidFill>
                <a:schemeClr val="lt1"/>
              </a:solidFill>
            </a:rPr>
            <a:t>Prod. electricité</a:t>
          </a:r>
          <a:endParaRPr>
            <a:solidFill>
              <a:schemeClr val="lt1"/>
            </a:solidFill>
          </a:endParaRPr>
        </a:p>
      </xdr:txBody>
    </xdr:sp>
    <xdr:clientData/>
  </xdr:twoCellAnchor>
  <xdr:twoCellAnchor>
    <xdr:from>
      <xdr:col>1</xdr:col>
      <xdr:colOff>2112279</xdr:colOff>
      <xdr:row>249</xdr:row>
      <xdr:rowOff>162158</xdr:rowOff>
    </xdr:from>
    <xdr:to>
      <xdr:col>3</xdr:col>
      <xdr:colOff>167708</xdr:colOff>
      <xdr:row>252</xdr:row>
      <xdr:rowOff>54638</xdr:rowOff>
    </xdr:to>
    <xdr:sp macro="" textlink="">
      <xdr:nvSpPr>
        <xdr:cNvPr id="144" name="Google Shape;189;p3">
          <a:extLst>
            <a:ext uri="{FF2B5EF4-FFF2-40B4-BE49-F238E27FC236}">
              <a16:creationId xmlns:a16="http://schemas.microsoft.com/office/drawing/2014/main" id="{826141BF-9EB9-F100-3E2B-8E48FFF326A7}"/>
            </a:ext>
          </a:extLst>
        </xdr:cNvPr>
        <xdr:cNvSpPr/>
      </xdr:nvSpPr>
      <xdr:spPr>
        <a:xfrm>
          <a:off x="2719498" y="46858471"/>
          <a:ext cx="1139148" cy="428261"/>
        </a:xfrm>
        <a:prstGeom prst="roundRect">
          <a:avLst>
            <a:gd name="adj" fmla="val 16667"/>
          </a:avLst>
        </a:prstGeom>
        <a:solidFill>
          <a:srgbClr val="009FBB"/>
        </a:solidFill>
        <a:ln w="9525" cap="flat" cmpd="sng">
          <a:solidFill>
            <a:srgbClr val="009EBA"/>
          </a:solidFill>
          <a:prstDash val="solid"/>
          <a:round/>
          <a:headEnd type="none" w="sm" len="sm"/>
          <a:tailEnd type="none" w="sm" len="sm"/>
        </a:ln>
        <a:effectLst>
          <a:outerShdw blurRad="40000" dist="23000" dir="5400000" rotWithShape="0">
            <a:srgbClr val="000000">
              <a:alpha val="34901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algn="ctr"/>
          <a:r>
            <a:rPr lang="fr-CA">
              <a:solidFill>
                <a:schemeClr val="lt1"/>
              </a:solidFill>
            </a:rPr>
            <a:t>Eau potable</a:t>
          </a:r>
          <a:endParaRPr>
            <a:solidFill>
              <a:schemeClr val="lt1"/>
            </a:solidFill>
          </a:endParaRPr>
        </a:p>
      </xdr:txBody>
    </xdr:sp>
    <xdr:clientData/>
  </xdr:twoCellAnchor>
  <xdr:twoCellAnchor>
    <xdr:from>
      <xdr:col>1</xdr:col>
      <xdr:colOff>2112280</xdr:colOff>
      <xdr:row>253</xdr:row>
      <xdr:rowOff>5616</xdr:rowOff>
    </xdr:from>
    <xdr:to>
      <xdr:col>3</xdr:col>
      <xdr:colOff>167708</xdr:colOff>
      <xdr:row>255</xdr:row>
      <xdr:rowOff>76690</xdr:rowOff>
    </xdr:to>
    <xdr:sp macro="" textlink="">
      <xdr:nvSpPr>
        <xdr:cNvPr id="145" name="Google Shape;189;p3">
          <a:extLst>
            <a:ext uri="{FF2B5EF4-FFF2-40B4-BE49-F238E27FC236}">
              <a16:creationId xmlns:a16="http://schemas.microsoft.com/office/drawing/2014/main" id="{E638A035-324A-6EC4-3DD0-1E0CF0F4DEA5}"/>
            </a:ext>
          </a:extLst>
        </xdr:cNvPr>
        <xdr:cNvSpPr/>
      </xdr:nvSpPr>
      <xdr:spPr>
        <a:xfrm>
          <a:off x="2719499" y="47416304"/>
          <a:ext cx="1139147" cy="428261"/>
        </a:xfrm>
        <a:prstGeom prst="roundRect">
          <a:avLst>
            <a:gd name="adj" fmla="val 16667"/>
          </a:avLst>
        </a:prstGeom>
        <a:solidFill>
          <a:srgbClr val="009FBB"/>
        </a:solidFill>
        <a:ln w="9525" cap="flat" cmpd="sng">
          <a:solidFill>
            <a:srgbClr val="009EBA"/>
          </a:solidFill>
          <a:prstDash val="solid"/>
          <a:round/>
          <a:headEnd type="none" w="sm" len="sm"/>
          <a:tailEnd type="none" w="sm" len="sm"/>
        </a:ln>
        <a:effectLst>
          <a:outerShdw blurRad="40000" dist="23000" dir="5400000" rotWithShape="0">
            <a:srgbClr val="000000">
              <a:alpha val="34901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algn="ctr"/>
          <a:r>
            <a:rPr lang="fr-CA">
              <a:solidFill>
                <a:schemeClr val="lt1"/>
              </a:solidFill>
            </a:rPr>
            <a:t>Prod. sucre</a:t>
          </a:r>
          <a:endParaRPr>
            <a:solidFill>
              <a:schemeClr val="lt1"/>
            </a:solidFill>
          </a:endParaRPr>
        </a:p>
      </xdr:txBody>
    </xdr:sp>
    <xdr:clientData/>
  </xdr:twoCellAnchor>
  <xdr:twoCellAnchor>
    <xdr:from>
      <xdr:col>3</xdr:col>
      <xdr:colOff>164533</xdr:colOff>
      <xdr:row>251</xdr:row>
      <xdr:rowOff>17514</xdr:rowOff>
    </xdr:from>
    <xdr:to>
      <xdr:col>3</xdr:col>
      <xdr:colOff>752701</xdr:colOff>
      <xdr:row>252</xdr:row>
      <xdr:rowOff>74914</xdr:rowOff>
    </xdr:to>
    <xdr:cxnSp macro="">
      <xdr:nvCxnSpPr>
        <xdr:cNvPr id="146" name="Google Shape;194;p3">
          <a:extLst>
            <a:ext uri="{FF2B5EF4-FFF2-40B4-BE49-F238E27FC236}">
              <a16:creationId xmlns:a16="http://schemas.microsoft.com/office/drawing/2014/main" id="{B1FB737B-5C4F-F9E2-B1F7-DD1730EB7360}"/>
            </a:ext>
          </a:extLst>
        </xdr:cNvPr>
        <xdr:cNvCxnSpPr>
          <a:cxnSpLocks/>
          <a:stCxn id="144" idx="3"/>
          <a:endCxn id="133" idx="1"/>
        </xdr:cNvCxnSpPr>
      </xdr:nvCxnSpPr>
      <xdr:spPr>
        <a:xfrm>
          <a:off x="3855471" y="47071014"/>
          <a:ext cx="588168" cy="235994"/>
        </a:xfrm>
        <a:prstGeom prst="straightConnector1">
          <a:avLst/>
        </a:prstGeom>
        <a:noFill/>
        <a:ln w="25400" cap="flat" cmpd="sng">
          <a:solidFill>
            <a:schemeClr val="dk1"/>
          </a:solidFill>
          <a:prstDash val="solid"/>
          <a:round/>
          <a:headEnd type="none" w="sm" len="sm"/>
          <a:tailEnd type="stealth" w="med" len="med"/>
        </a:ln>
        <a:effectLst>
          <a:outerShdw blurRad="40000" dist="20000" dir="5400000" rotWithShape="0">
            <a:srgbClr val="000000">
              <a:alpha val="37647"/>
            </a:srgbClr>
          </a:outerShdw>
        </a:effectLst>
      </xdr:spPr>
    </xdr:cxnSp>
    <xdr:clientData/>
  </xdr:twoCellAnchor>
  <xdr:twoCellAnchor>
    <xdr:from>
      <xdr:col>3</xdr:col>
      <xdr:colOff>164533</xdr:colOff>
      <xdr:row>252</xdr:row>
      <xdr:rowOff>74914</xdr:rowOff>
    </xdr:from>
    <xdr:to>
      <xdr:col>3</xdr:col>
      <xdr:colOff>752701</xdr:colOff>
      <xdr:row>254</xdr:row>
      <xdr:rowOff>42741</xdr:rowOff>
    </xdr:to>
    <xdr:cxnSp macro="">
      <xdr:nvCxnSpPr>
        <xdr:cNvPr id="147" name="Google Shape;194;p3">
          <a:extLst>
            <a:ext uri="{FF2B5EF4-FFF2-40B4-BE49-F238E27FC236}">
              <a16:creationId xmlns:a16="http://schemas.microsoft.com/office/drawing/2014/main" id="{F2793A6F-9CC4-F269-A564-84955AB18AA6}"/>
            </a:ext>
          </a:extLst>
        </xdr:cNvPr>
        <xdr:cNvCxnSpPr>
          <a:cxnSpLocks/>
          <a:stCxn id="145" idx="3"/>
          <a:endCxn id="133" idx="1"/>
        </xdr:cNvCxnSpPr>
      </xdr:nvCxnSpPr>
      <xdr:spPr>
        <a:xfrm flipV="1">
          <a:off x="3855471" y="47307008"/>
          <a:ext cx="588168" cy="325014"/>
        </a:xfrm>
        <a:prstGeom prst="straightConnector1">
          <a:avLst/>
        </a:prstGeom>
        <a:noFill/>
        <a:ln w="25400" cap="flat" cmpd="sng">
          <a:solidFill>
            <a:schemeClr val="dk1"/>
          </a:solidFill>
          <a:prstDash val="solid"/>
          <a:round/>
          <a:headEnd type="none" w="sm" len="sm"/>
          <a:tailEnd type="stealth" w="med" len="med"/>
        </a:ln>
        <a:effectLst>
          <a:outerShdw blurRad="40000" dist="20000" dir="5400000" rotWithShape="0">
            <a:srgbClr val="000000">
              <a:alpha val="37647"/>
            </a:srgbClr>
          </a:outerShdw>
        </a:effectLst>
      </xdr:spPr>
    </xdr:cxnSp>
    <xdr:clientData/>
  </xdr:twoCellAnchor>
  <xdr:twoCellAnchor>
    <xdr:from>
      <xdr:col>1</xdr:col>
      <xdr:colOff>1321312</xdr:colOff>
      <xdr:row>246</xdr:row>
      <xdr:rowOff>57676</xdr:rowOff>
    </xdr:from>
    <xdr:to>
      <xdr:col>1</xdr:col>
      <xdr:colOff>2112279</xdr:colOff>
      <xdr:row>249</xdr:row>
      <xdr:rowOff>171737</xdr:rowOff>
    </xdr:to>
    <xdr:cxnSp macro="">
      <xdr:nvCxnSpPr>
        <xdr:cNvPr id="148" name="Google Shape;194;p3">
          <a:extLst>
            <a:ext uri="{FF2B5EF4-FFF2-40B4-BE49-F238E27FC236}">
              <a16:creationId xmlns:a16="http://schemas.microsoft.com/office/drawing/2014/main" id="{89286D7A-0806-BD50-E458-0151A82DD3AB}"/>
            </a:ext>
          </a:extLst>
        </xdr:cNvPr>
        <xdr:cNvCxnSpPr>
          <a:cxnSpLocks/>
          <a:stCxn id="143" idx="3"/>
          <a:endCxn id="124" idx="1"/>
        </xdr:cNvCxnSpPr>
      </xdr:nvCxnSpPr>
      <xdr:spPr>
        <a:xfrm flipV="1">
          <a:off x="1928531" y="46218207"/>
          <a:ext cx="790967" cy="649843"/>
        </a:xfrm>
        <a:prstGeom prst="straightConnector1">
          <a:avLst/>
        </a:prstGeom>
        <a:noFill/>
        <a:ln w="25400" cap="flat" cmpd="sng">
          <a:solidFill>
            <a:schemeClr val="dk1"/>
          </a:solidFill>
          <a:prstDash val="solid"/>
          <a:round/>
          <a:headEnd type="none" w="sm" len="sm"/>
          <a:tailEnd type="stealth" w="med" len="med"/>
        </a:ln>
        <a:effectLst>
          <a:outerShdw blurRad="40000" dist="20000" dir="5400000" rotWithShape="0">
            <a:srgbClr val="000000">
              <a:alpha val="37647"/>
            </a:srgbClr>
          </a:outerShdw>
        </a:effectLst>
      </xdr:spPr>
    </xdr:cxnSp>
    <xdr:clientData/>
  </xdr:twoCellAnchor>
  <xdr:twoCellAnchor>
    <xdr:from>
      <xdr:col>1</xdr:col>
      <xdr:colOff>1399266</xdr:colOff>
      <xdr:row>244</xdr:row>
      <xdr:rowOff>167092</xdr:rowOff>
    </xdr:from>
    <xdr:to>
      <xdr:col>1</xdr:col>
      <xdr:colOff>2112212</xdr:colOff>
      <xdr:row>246</xdr:row>
      <xdr:rowOff>117641</xdr:rowOff>
    </xdr:to>
    <xdr:sp macro="" textlink="">
      <xdr:nvSpPr>
        <xdr:cNvPr id="149" name="Google Shape;197;p3">
          <a:extLst>
            <a:ext uri="{FF2B5EF4-FFF2-40B4-BE49-F238E27FC236}">
              <a16:creationId xmlns:a16="http://schemas.microsoft.com/office/drawing/2014/main" id="{0A68C828-127F-2F7D-2A9B-4F660F180BAB}"/>
            </a:ext>
          </a:extLst>
        </xdr:cNvPr>
        <xdr:cNvSpPr txBox="1"/>
      </xdr:nvSpPr>
      <xdr:spPr>
        <a:xfrm>
          <a:off x="2006485" y="45970436"/>
          <a:ext cx="712946" cy="30773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fr-CA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100%</a:t>
          </a:r>
          <a:endParaRPr sz="1200"/>
        </a:p>
      </xdr:txBody>
    </xdr:sp>
    <xdr:clientData/>
  </xdr:twoCellAnchor>
  <xdr:twoCellAnchor>
    <xdr:from>
      <xdr:col>1</xdr:col>
      <xdr:colOff>1516360</xdr:colOff>
      <xdr:row>261</xdr:row>
      <xdr:rowOff>116921</xdr:rowOff>
    </xdr:from>
    <xdr:to>
      <xdr:col>1</xdr:col>
      <xdr:colOff>2029730</xdr:colOff>
      <xdr:row>263</xdr:row>
      <xdr:rowOff>71189</xdr:rowOff>
    </xdr:to>
    <xdr:sp macro="" textlink="">
      <xdr:nvSpPr>
        <xdr:cNvPr id="150" name="Google Shape;198;p3">
          <a:extLst>
            <a:ext uri="{FF2B5EF4-FFF2-40B4-BE49-F238E27FC236}">
              <a16:creationId xmlns:a16="http://schemas.microsoft.com/office/drawing/2014/main" id="{536F494F-04FE-706D-99E0-FC3737FBD7E6}"/>
            </a:ext>
          </a:extLst>
        </xdr:cNvPr>
        <xdr:cNvSpPr txBox="1"/>
      </xdr:nvSpPr>
      <xdr:spPr>
        <a:xfrm>
          <a:off x="2123579" y="48956359"/>
          <a:ext cx="513370" cy="31145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fr-CA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80%</a:t>
          </a:r>
          <a:endParaRPr sz="1200"/>
        </a:p>
      </xdr:txBody>
    </xdr:sp>
    <xdr:clientData/>
  </xdr:twoCellAnchor>
  <xdr:twoCellAnchor>
    <xdr:from>
      <xdr:col>14</xdr:col>
      <xdr:colOff>544336</xdr:colOff>
      <xdr:row>197</xdr:row>
      <xdr:rowOff>30457</xdr:rowOff>
    </xdr:from>
    <xdr:to>
      <xdr:col>20</xdr:col>
      <xdr:colOff>266112</xdr:colOff>
      <xdr:row>212</xdr:row>
      <xdr:rowOff>134173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4E329CE-4F68-ACA4-11D8-A3B40A50E2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574205</xdr:colOff>
      <xdr:row>307</xdr:row>
      <xdr:rowOff>10113</xdr:rowOff>
    </xdr:from>
    <xdr:to>
      <xdr:col>17</xdr:col>
      <xdr:colOff>79139</xdr:colOff>
      <xdr:row>330</xdr:row>
      <xdr:rowOff>164630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E7A350B-F159-12BF-B2E5-293AC7FD36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0.53468</cdr:x>
      <cdr:y>0.24179</cdr:y>
    </cdr:from>
    <cdr:to>
      <cdr:x>0.54868</cdr:x>
      <cdr:y>0.25993</cdr:y>
    </cdr:to>
    <cdr:sp macro="" textlink="">
      <cdr:nvSpPr>
        <cdr:cNvPr id="4" name="Diamond 3">
          <a:extLst xmlns:a="http://schemas.openxmlformats.org/drawingml/2006/main">
            <a:ext uri="{FF2B5EF4-FFF2-40B4-BE49-F238E27FC236}">
              <a16:creationId xmlns:a16="http://schemas.microsoft.com/office/drawing/2014/main" id="{0448E99A-B7D2-D22E-013F-996027108096}"/>
            </a:ext>
          </a:extLst>
        </cdr:cNvPr>
        <cdr:cNvSpPr/>
      </cdr:nvSpPr>
      <cdr:spPr>
        <a:xfrm xmlns:a="http://schemas.openxmlformats.org/drawingml/2006/main" flipH="1">
          <a:off x="3212278" y="1026820"/>
          <a:ext cx="84086" cy="77023"/>
        </a:xfrm>
        <a:prstGeom xmlns:a="http://schemas.openxmlformats.org/drawingml/2006/main" prst="diamond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CH" kern="1200"/>
        </a:p>
      </cdr:txBody>
    </cdr:sp>
  </cdr:relSizeAnchor>
  <cdr:relSizeAnchor xmlns:cdr="http://schemas.openxmlformats.org/drawingml/2006/chartDrawing">
    <cdr:from>
      <cdr:x>0.24334</cdr:x>
      <cdr:y>0.31378</cdr:y>
    </cdr:from>
    <cdr:to>
      <cdr:x>0.25733</cdr:x>
      <cdr:y>0.33192</cdr:y>
    </cdr:to>
    <cdr:sp macro="" textlink="">
      <cdr:nvSpPr>
        <cdr:cNvPr id="6" name="Diamond 5">
          <a:extLst xmlns:a="http://schemas.openxmlformats.org/drawingml/2006/main">
            <a:ext uri="{FF2B5EF4-FFF2-40B4-BE49-F238E27FC236}">
              <a16:creationId xmlns:a16="http://schemas.microsoft.com/office/drawing/2014/main" id="{72C17621-5B6B-41C0-8D1B-552F649EDBF9}"/>
            </a:ext>
          </a:extLst>
        </cdr:cNvPr>
        <cdr:cNvSpPr/>
      </cdr:nvSpPr>
      <cdr:spPr>
        <a:xfrm xmlns:a="http://schemas.openxmlformats.org/drawingml/2006/main" flipH="1">
          <a:off x="1461910" y="1332559"/>
          <a:ext cx="84086" cy="77023"/>
        </a:xfrm>
        <a:prstGeom xmlns:a="http://schemas.openxmlformats.org/drawingml/2006/main" prst="diamond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CH" kern="1200"/>
        </a:p>
      </cdr:txBody>
    </cdr:sp>
  </cdr:relSizeAnchor>
  <cdr:relSizeAnchor xmlns:cdr="http://schemas.openxmlformats.org/drawingml/2006/chartDrawing">
    <cdr:from>
      <cdr:x>0.82466</cdr:x>
      <cdr:y>0.14764</cdr:y>
    </cdr:from>
    <cdr:to>
      <cdr:x>0.83866</cdr:x>
      <cdr:y>0.16578</cdr:y>
    </cdr:to>
    <cdr:sp macro="" textlink="">
      <cdr:nvSpPr>
        <cdr:cNvPr id="7" name="Diamond 6">
          <a:extLst xmlns:a="http://schemas.openxmlformats.org/drawingml/2006/main">
            <a:ext uri="{FF2B5EF4-FFF2-40B4-BE49-F238E27FC236}">
              <a16:creationId xmlns:a16="http://schemas.microsoft.com/office/drawing/2014/main" id="{FA3BC85C-2D10-4C0A-F4A3-946E30A754DA}"/>
            </a:ext>
          </a:extLst>
        </cdr:cNvPr>
        <cdr:cNvSpPr/>
      </cdr:nvSpPr>
      <cdr:spPr>
        <a:xfrm xmlns:a="http://schemas.openxmlformats.org/drawingml/2006/main" flipH="1">
          <a:off x="4954411" y="627004"/>
          <a:ext cx="84086" cy="77023"/>
        </a:xfrm>
        <a:prstGeom xmlns:a="http://schemas.openxmlformats.org/drawingml/2006/main" prst="diamond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CH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499F-3275-4AA0-84AC-8E9AA2898449}">
  <dimension ref="A1:V316"/>
  <sheetViews>
    <sheetView tabSelected="1" zoomScale="81" zoomScaleNormal="100" workbookViewId="0">
      <selection activeCell="S314" sqref="S314"/>
    </sheetView>
  </sheetViews>
  <sheetFormatPr defaultRowHeight="14.5" x14ac:dyDescent="0.35"/>
  <cols>
    <col min="2" max="2" width="32.1796875" customWidth="1"/>
    <col min="3" max="3" width="12" bestFit="1" customWidth="1"/>
    <col min="4" max="4" width="20.81640625" customWidth="1"/>
    <col min="5" max="5" width="12" customWidth="1"/>
    <col min="6" max="6" width="11.1796875" customWidth="1"/>
    <col min="7" max="7" width="12.6328125" customWidth="1"/>
    <col min="8" max="8" width="8.81640625" bestFit="1" customWidth="1"/>
    <col min="9" max="9" width="12" bestFit="1" customWidth="1"/>
    <col min="10" max="10" width="11.81640625" bestFit="1" customWidth="1"/>
    <col min="11" max="11" width="12.453125" bestFit="1" customWidth="1"/>
    <col min="12" max="13" width="8.81640625" bestFit="1" customWidth="1"/>
    <col min="14" max="14" width="12" bestFit="1" customWidth="1"/>
    <col min="15" max="15" width="8.81640625" bestFit="1" customWidth="1"/>
    <col min="16" max="17" width="9.1796875" customWidth="1"/>
    <col min="19" max="19" width="25" customWidth="1"/>
    <col min="26" max="26" width="8.81640625" bestFit="1" customWidth="1"/>
    <col min="28" max="36" width="8.81640625" bestFit="1" customWidth="1"/>
  </cols>
  <sheetData>
    <row r="1" spans="1:2" ht="17.5" x14ac:dyDescent="0.35">
      <c r="A1" s="61"/>
    </row>
    <row r="3" spans="1:2" x14ac:dyDescent="0.35">
      <c r="B3" s="1" t="s">
        <v>124</v>
      </c>
    </row>
    <row r="4" spans="1:2" x14ac:dyDescent="0.35">
      <c r="B4" t="s">
        <v>125</v>
      </c>
    </row>
    <row r="5" spans="1:2" x14ac:dyDescent="0.35">
      <c r="B5" t="s">
        <v>126</v>
      </c>
    </row>
    <row r="6" spans="1:2" x14ac:dyDescent="0.35">
      <c r="B6" s="21"/>
    </row>
    <row r="7" spans="1:2" x14ac:dyDescent="0.35">
      <c r="B7" s="58" t="s">
        <v>123</v>
      </c>
    </row>
    <row r="10" spans="1:2" x14ac:dyDescent="0.35">
      <c r="B10" t="s">
        <v>0</v>
      </c>
    </row>
    <row r="37" spans="2:5" x14ac:dyDescent="0.35">
      <c r="B37" s="58" t="s">
        <v>71</v>
      </c>
    </row>
    <row r="38" spans="2:5" x14ac:dyDescent="0.35">
      <c r="B38" s="59" t="s">
        <v>72</v>
      </c>
    </row>
    <row r="39" spans="2:5" x14ac:dyDescent="0.35">
      <c r="B39" s="59" t="s">
        <v>73</v>
      </c>
    </row>
    <row r="40" spans="2:5" x14ac:dyDescent="0.35">
      <c r="B40" s="60"/>
    </row>
    <row r="41" spans="2:5" x14ac:dyDescent="0.35">
      <c r="B41" t="s">
        <v>42</v>
      </c>
    </row>
    <row r="42" spans="2:5" x14ac:dyDescent="0.35">
      <c r="B42" t="s">
        <v>149</v>
      </c>
      <c r="E42" s="19">
        <f>E63</f>
        <v>2.2831050228310502E-7</v>
      </c>
    </row>
    <row r="43" spans="2:5" x14ac:dyDescent="0.35">
      <c r="B43" t="s">
        <v>41</v>
      </c>
      <c r="E43" s="19"/>
    </row>
    <row r="44" spans="2:5" x14ac:dyDescent="0.35">
      <c r="B44" t="s">
        <v>150</v>
      </c>
      <c r="E44" s="19">
        <f>E64</f>
        <v>1.1415525114155251E-7</v>
      </c>
    </row>
    <row r="45" spans="2:5" x14ac:dyDescent="0.35">
      <c r="B45" t="s">
        <v>40</v>
      </c>
      <c r="E45" s="19"/>
    </row>
    <row r="46" spans="2:5" x14ac:dyDescent="0.35">
      <c r="B46" t="s">
        <v>122</v>
      </c>
      <c r="E46" s="19">
        <f>E42+E44</f>
        <v>3.424657534246575E-7</v>
      </c>
    </row>
    <row r="49" spans="2:22" x14ac:dyDescent="0.35">
      <c r="B49" s="58" t="s">
        <v>74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S49" s="60" t="s">
        <v>43</v>
      </c>
    </row>
    <row r="50" spans="2:22" x14ac:dyDescent="0.35">
      <c r="B50" s="58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S50" t="s">
        <v>44</v>
      </c>
      <c r="T50">
        <v>365</v>
      </c>
    </row>
    <row r="51" spans="2:22" x14ac:dyDescent="0.35">
      <c r="B51" s="62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S51" t="s">
        <v>45</v>
      </c>
      <c r="T51">
        <v>24</v>
      </c>
    </row>
    <row r="52" spans="2:22" s="60" customFormat="1" ht="16" x14ac:dyDescent="0.35">
      <c r="B52" s="58" t="s">
        <v>75</v>
      </c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S52" t="s">
        <v>46</v>
      </c>
      <c r="T52">
        <v>1000</v>
      </c>
    </row>
    <row r="53" spans="2:22" s="60" customFormat="1" ht="18" customHeight="1" x14ac:dyDescent="0.35">
      <c r="B53" s="59" t="s">
        <v>76</v>
      </c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S53" t="s">
        <v>113</v>
      </c>
      <c r="T53">
        <v>3.6</v>
      </c>
    </row>
    <row r="54" spans="2:22" s="60" customFormat="1" ht="18" customHeight="1" x14ac:dyDescent="0.35">
      <c r="B54" s="59" t="s">
        <v>77</v>
      </c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</row>
    <row r="55" spans="2:22" ht="15" thickBot="1" x14ac:dyDescent="0.4"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</row>
    <row r="56" spans="2:22" ht="15" thickBot="1" x14ac:dyDescent="0.4">
      <c r="B56" s="66" t="s">
        <v>1</v>
      </c>
      <c r="C56" s="67"/>
      <c r="D56" s="67"/>
      <c r="E56" s="67"/>
      <c r="F56" s="67"/>
      <c r="G56" s="67"/>
      <c r="H56" s="67"/>
      <c r="I56" s="67"/>
      <c r="J56" s="67"/>
      <c r="K56" s="68" t="s">
        <v>2</v>
      </c>
      <c r="L56" s="67"/>
      <c r="M56" s="67"/>
      <c r="N56" s="67"/>
      <c r="O56" s="69"/>
    </row>
    <row r="57" spans="2:22" ht="43.75" customHeight="1" thickBot="1" x14ac:dyDescent="0.4">
      <c r="B57" s="64" t="s">
        <v>3</v>
      </c>
      <c r="C57" s="41"/>
      <c r="D57" s="41"/>
      <c r="E57" s="41"/>
      <c r="F57" s="43" t="s">
        <v>4</v>
      </c>
      <c r="G57" s="41"/>
      <c r="H57" s="65" t="s">
        <v>5</v>
      </c>
      <c r="I57" s="43"/>
      <c r="J57" s="273" t="s">
        <v>6</v>
      </c>
      <c r="K57" s="43"/>
      <c r="L57" s="265" t="s">
        <v>51</v>
      </c>
      <c r="M57" s="266"/>
      <c r="N57" s="266"/>
      <c r="O57" s="276"/>
    </row>
    <row r="58" spans="2:22" ht="29.4" customHeight="1" thickBot="1" x14ac:dyDescent="0.4">
      <c r="B58" s="6"/>
      <c r="C58" s="3" t="s">
        <v>7</v>
      </c>
      <c r="D58" s="3" t="s">
        <v>8</v>
      </c>
      <c r="E58" s="3" t="s">
        <v>9</v>
      </c>
      <c r="F58" s="2" t="s">
        <v>10</v>
      </c>
      <c r="G58" s="3"/>
      <c r="H58" s="3"/>
      <c r="I58" s="8" t="s">
        <v>11</v>
      </c>
      <c r="J58" s="274"/>
      <c r="K58" s="9" t="s">
        <v>12</v>
      </c>
      <c r="L58" s="268" t="s">
        <v>53</v>
      </c>
      <c r="M58" s="269"/>
      <c r="N58" s="268" t="s">
        <v>52</v>
      </c>
      <c r="O58" s="269"/>
    </row>
    <row r="59" spans="2:22" ht="29.5" thickBot="1" x14ac:dyDescent="0.4">
      <c r="B59" s="10" t="s">
        <v>13</v>
      </c>
      <c r="C59" s="11"/>
      <c r="D59" s="11"/>
      <c r="E59" s="11"/>
      <c r="F59" s="12"/>
      <c r="G59" s="4" t="s">
        <v>14</v>
      </c>
      <c r="H59" s="4" t="s">
        <v>15</v>
      </c>
      <c r="I59" s="5" t="s">
        <v>16</v>
      </c>
      <c r="J59" s="275"/>
      <c r="K59" s="109" t="s">
        <v>17</v>
      </c>
      <c r="L59" s="4" t="s">
        <v>18</v>
      </c>
      <c r="M59" s="5" t="s">
        <v>19</v>
      </c>
      <c r="N59" s="4" t="s">
        <v>18</v>
      </c>
      <c r="O59" s="5" t="s">
        <v>19</v>
      </c>
    </row>
    <row r="60" spans="2:22" ht="15" thickBot="1" x14ac:dyDescent="0.4">
      <c r="B60" s="277" t="s">
        <v>56</v>
      </c>
      <c r="C60" s="13" t="s">
        <v>20</v>
      </c>
      <c r="D60" s="13" t="s">
        <v>21</v>
      </c>
      <c r="E60" s="15">
        <v>1</v>
      </c>
      <c r="F60" s="16" t="s">
        <v>58</v>
      </c>
      <c r="G60" s="3"/>
      <c r="H60" s="3"/>
      <c r="I60" s="7"/>
      <c r="J60" s="104"/>
      <c r="K60" s="112"/>
      <c r="L60" s="94"/>
      <c r="M60" s="7"/>
      <c r="N60" s="3"/>
      <c r="O60" s="7"/>
      <c r="S60" s="60" t="s">
        <v>50</v>
      </c>
      <c r="V60" t="s">
        <v>55</v>
      </c>
    </row>
    <row r="61" spans="2:22" ht="15" thickBot="1" x14ac:dyDescent="0.4">
      <c r="B61" s="278"/>
      <c r="C61" s="13"/>
      <c r="D61" s="13" t="s">
        <v>21</v>
      </c>
      <c r="E61" s="15">
        <v>2.52</v>
      </c>
      <c r="F61" s="16" t="s">
        <v>102</v>
      </c>
      <c r="G61" s="3"/>
      <c r="H61" s="3"/>
      <c r="I61" s="7"/>
      <c r="J61" s="104"/>
      <c r="K61" s="113"/>
      <c r="L61" s="94"/>
      <c r="M61" s="7"/>
      <c r="N61" s="3"/>
      <c r="O61" s="7"/>
      <c r="S61" s="60"/>
    </row>
    <row r="62" spans="2:22" ht="15" thickBot="1" x14ac:dyDescent="0.4">
      <c r="B62" s="278"/>
      <c r="C62" s="3" t="s">
        <v>22</v>
      </c>
      <c r="D62" s="3" t="s">
        <v>57</v>
      </c>
      <c r="E62" s="14">
        <v>0.05</v>
      </c>
      <c r="F62" s="7" t="s">
        <v>34</v>
      </c>
      <c r="G62" s="3"/>
      <c r="H62" s="3"/>
      <c r="I62" s="7"/>
      <c r="J62" s="104"/>
      <c r="K62" s="113"/>
      <c r="L62" s="94"/>
      <c r="M62" s="7"/>
      <c r="N62" s="3"/>
      <c r="O62" s="7"/>
      <c r="S62" t="s">
        <v>64</v>
      </c>
      <c r="T62">
        <v>20</v>
      </c>
      <c r="U62" t="s">
        <v>34</v>
      </c>
    </row>
    <row r="63" spans="2:22" ht="15" thickBot="1" x14ac:dyDescent="0.4">
      <c r="B63" s="278"/>
      <c r="C63" s="3" t="s">
        <v>22</v>
      </c>
      <c r="D63" s="3" t="s">
        <v>30</v>
      </c>
      <c r="E63" s="19">
        <f>1/(T66*T50*T51*T70)</f>
        <v>2.2831050228310502E-7</v>
      </c>
      <c r="F63" s="7" t="s">
        <v>23</v>
      </c>
      <c r="G63" s="3"/>
      <c r="H63" s="3"/>
      <c r="I63" s="7"/>
      <c r="J63" s="104"/>
      <c r="K63" s="113"/>
      <c r="L63" s="94"/>
      <c r="M63" s="7"/>
      <c r="N63" s="3"/>
      <c r="O63" s="7"/>
      <c r="S63" t="s">
        <v>65</v>
      </c>
      <c r="T63">
        <v>20</v>
      </c>
      <c r="U63" t="s">
        <v>34</v>
      </c>
    </row>
    <row r="64" spans="2:22" ht="15" thickBot="1" x14ac:dyDescent="0.4">
      <c r="B64" s="278"/>
      <c r="C64" s="3" t="s">
        <v>22</v>
      </c>
      <c r="D64" s="3" t="s">
        <v>32</v>
      </c>
      <c r="E64" s="19">
        <f>1/(T67*T50*T51*T70)</f>
        <v>1.1415525114155251E-7</v>
      </c>
      <c r="F64" s="7" t="s">
        <v>23</v>
      </c>
      <c r="G64" s="3"/>
      <c r="H64" s="3"/>
      <c r="I64" s="7"/>
      <c r="J64" s="104"/>
      <c r="K64" s="113"/>
      <c r="L64" s="94"/>
      <c r="M64" s="7"/>
      <c r="N64" s="3"/>
      <c r="O64" s="7"/>
      <c r="S64" t="s">
        <v>67</v>
      </c>
      <c r="T64">
        <v>3</v>
      </c>
      <c r="U64" t="s">
        <v>26</v>
      </c>
    </row>
    <row r="65" spans="2:21" ht="15" thickBot="1" x14ac:dyDescent="0.4">
      <c r="B65" s="279"/>
      <c r="D65" s="23" t="s">
        <v>127</v>
      </c>
      <c r="E65" s="19">
        <f>E63+E64</f>
        <v>3.424657534246575E-7</v>
      </c>
      <c r="F65" s="24" t="s">
        <v>23</v>
      </c>
      <c r="G65" s="3"/>
      <c r="H65" s="3"/>
      <c r="I65" s="152"/>
      <c r="J65" s="104"/>
      <c r="K65" s="113"/>
      <c r="L65" s="94"/>
      <c r="M65" s="7"/>
      <c r="N65" s="3"/>
      <c r="O65" s="7"/>
      <c r="S65" t="s">
        <v>66</v>
      </c>
      <c r="T65">
        <v>100</v>
      </c>
      <c r="U65" t="s">
        <v>26</v>
      </c>
    </row>
    <row r="66" spans="2:21" ht="15" thickBot="1" x14ac:dyDescent="0.4">
      <c r="B66" s="28" t="s">
        <v>30</v>
      </c>
      <c r="C66" s="29" t="s">
        <v>24</v>
      </c>
      <c r="D66" s="30" t="s">
        <v>30</v>
      </c>
      <c r="E66" s="31">
        <v>1</v>
      </c>
      <c r="F66" s="32" t="s">
        <v>25</v>
      </c>
      <c r="G66" s="71">
        <f>E63/E66</f>
        <v>2.2831050228310502E-7</v>
      </c>
      <c r="H66" s="3"/>
      <c r="I66" s="7"/>
      <c r="J66" s="104"/>
      <c r="K66" s="114">
        <f>E74*I74*K74+E75*I75*K75+E76*I76*K76+E77*I77*K77</f>
        <v>2.0922374429223746E-4</v>
      </c>
      <c r="L66" s="94"/>
      <c r="M66" s="7"/>
      <c r="N66" s="20">
        <f>E66*G66*K66</f>
        <v>4.7767978148912663E-11</v>
      </c>
      <c r="O66" s="18">
        <f>(N66/$N$78)</f>
        <v>4.112170144140877E-10</v>
      </c>
      <c r="S66" t="s">
        <v>47</v>
      </c>
      <c r="T66">
        <v>10</v>
      </c>
      <c r="U66" t="s">
        <v>48</v>
      </c>
    </row>
    <row r="67" spans="2:21" ht="15" thickBot="1" x14ac:dyDescent="0.4">
      <c r="B67" s="33"/>
      <c r="C67" s="26" t="s">
        <v>22</v>
      </c>
      <c r="D67" s="26" t="s">
        <v>59</v>
      </c>
      <c r="E67" s="40">
        <f>T62</f>
        <v>20</v>
      </c>
      <c r="F67" s="44" t="s">
        <v>26</v>
      </c>
      <c r="G67" s="22"/>
      <c r="H67" s="3"/>
      <c r="I67" s="7"/>
      <c r="J67" s="104"/>
      <c r="K67" s="115"/>
      <c r="L67" s="94"/>
      <c r="M67" s="7"/>
      <c r="N67" s="14"/>
      <c r="O67" s="18"/>
      <c r="S67" t="s">
        <v>49</v>
      </c>
      <c r="T67">
        <v>20</v>
      </c>
      <c r="U67" t="s">
        <v>48</v>
      </c>
    </row>
    <row r="68" spans="2:21" ht="15" thickBot="1" x14ac:dyDescent="0.4">
      <c r="B68" s="33"/>
      <c r="C68" s="26" t="s">
        <v>22</v>
      </c>
      <c r="D68" s="26" t="s">
        <v>60</v>
      </c>
      <c r="E68" s="40">
        <f>T63</f>
        <v>20</v>
      </c>
      <c r="F68" s="44" t="s">
        <v>26</v>
      </c>
      <c r="G68" s="22"/>
      <c r="H68" s="3"/>
      <c r="I68" s="7"/>
      <c r="J68" s="104"/>
      <c r="K68" s="115"/>
      <c r="L68" s="94"/>
      <c r="M68" s="7"/>
      <c r="N68" s="14"/>
      <c r="O68" s="18"/>
      <c r="S68" t="s">
        <v>57</v>
      </c>
      <c r="T68">
        <v>0.05</v>
      </c>
      <c r="U68" t="s">
        <v>70</v>
      </c>
    </row>
    <row r="69" spans="2:21" ht="15" thickBot="1" x14ac:dyDescent="0.4">
      <c r="B69" s="33"/>
      <c r="C69" s="26" t="s">
        <v>22</v>
      </c>
      <c r="D69" s="26" t="s">
        <v>61</v>
      </c>
      <c r="E69" s="40">
        <f>T64</f>
        <v>3</v>
      </c>
      <c r="F69" s="44" t="s">
        <v>26</v>
      </c>
      <c r="G69" s="22"/>
      <c r="H69" s="3"/>
      <c r="I69" s="7"/>
      <c r="J69" s="104"/>
      <c r="K69" s="115"/>
      <c r="L69" s="94"/>
      <c r="M69" s="7"/>
      <c r="N69" s="14"/>
      <c r="O69" s="18"/>
      <c r="S69" t="s">
        <v>68</v>
      </c>
      <c r="T69">
        <v>2520</v>
      </c>
      <c r="U69" t="s">
        <v>69</v>
      </c>
    </row>
    <row r="70" spans="2:21" ht="15" thickBot="1" x14ac:dyDescent="0.4">
      <c r="B70" s="35"/>
      <c r="C70" s="37" t="s">
        <v>22</v>
      </c>
      <c r="D70" s="37" t="s">
        <v>36</v>
      </c>
      <c r="E70" s="47">
        <f>T65</f>
        <v>100</v>
      </c>
      <c r="F70" s="48" t="s">
        <v>26</v>
      </c>
      <c r="G70" s="22"/>
      <c r="H70" s="3"/>
      <c r="I70" s="7"/>
      <c r="J70" s="104"/>
      <c r="K70" s="115"/>
      <c r="L70" s="94"/>
      <c r="M70" s="7"/>
      <c r="N70" s="14"/>
      <c r="O70" s="18"/>
      <c r="S70" t="s">
        <v>121</v>
      </c>
      <c r="T70">
        <v>50</v>
      </c>
      <c r="U70" t="s">
        <v>120</v>
      </c>
    </row>
    <row r="71" spans="2:21" ht="17" thickBot="1" x14ac:dyDescent="0.5">
      <c r="B71" s="45" t="s">
        <v>103</v>
      </c>
      <c r="C71" s="25" t="s">
        <v>24</v>
      </c>
      <c r="D71" s="26" t="s">
        <v>62</v>
      </c>
      <c r="E71" s="27">
        <v>1</v>
      </c>
      <c r="F71" s="34" t="s">
        <v>26</v>
      </c>
      <c r="G71" s="22">
        <f>E62/E71</f>
        <v>0.05</v>
      </c>
      <c r="H71" s="3"/>
      <c r="I71" s="7"/>
      <c r="J71" s="104"/>
      <c r="K71" s="110">
        <f>E86</f>
        <v>2.2999999999999998</v>
      </c>
      <c r="L71" s="94"/>
      <c r="M71" s="7"/>
      <c r="N71" s="20">
        <f>E71*G71*K71</f>
        <v>0.11499999999999999</v>
      </c>
      <c r="O71" s="18">
        <f>(N71/$N$78)</f>
        <v>0.98999284646709584</v>
      </c>
    </row>
    <row r="72" spans="2:21" ht="15" thickBot="1" x14ac:dyDescent="0.4">
      <c r="B72" s="45" t="s">
        <v>35</v>
      </c>
      <c r="C72" s="25" t="s">
        <v>24</v>
      </c>
      <c r="D72" s="26" t="s">
        <v>32</v>
      </c>
      <c r="E72" s="27">
        <v>1</v>
      </c>
      <c r="F72" s="34" t="s">
        <v>25</v>
      </c>
      <c r="G72" s="71">
        <f>E64/E72</f>
        <v>1.1415525114155251E-7</v>
      </c>
      <c r="H72" s="3"/>
      <c r="I72" s="7"/>
      <c r="J72" s="104"/>
      <c r="K72" s="114">
        <f>E88</f>
        <v>10179</v>
      </c>
      <c r="L72" s="94"/>
      <c r="M72" s="7"/>
      <c r="N72" s="85">
        <f>E72*G72*K72</f>
        <v>1.1619863013698629E-3</v>
      </c>
      <c r="O72" s="18">
        <f>(N72/$N$78)</f>
        <v>1.0003114139555855E-2</v>
      </c>
    </row>
    <row r="73" spans="2:21" ht="15" thickBot="1" x14ac:dyDescent="0.4">
      <c r="B73" s="46" t="s">
        <v>33</v>
      </c>
      <c r="C73" s="36" t="s">
        <v>24</v>
      </c>
      <c r="D73" s="37" t="s">
        <v>33</v>
      </c>
      <c r="E73" s="38">
        <v>1</v>
      </c>
      <c r="F73" s="39" t="s">
        <v>25</v>
      </c>
      <c r="G73" s="71">
        <f>E65/E73</f>
        <v>3.424657534246575E-7</v>
      </c>
      <c r="H73" s="3"/>
      <c r="I73" s="7"/>
      <c r="J73" s="104"/>
      <c r="K73" s="110">
        <f>E87</f>
        <v>1.37</v>
      </c>
      <c r="L73" s="94"/>
      <c r="M73" s="7"/>
      <c r="N73" s="20">
        <f>E73*G73*K73</f>
        <v>4.6917808219178081E-7</v>
      </c>
      <c r="O73" s="18">
        <f>(N73/$N$78)</f>
        <v>4.0389821312088193E-6</v>
      </c>
    </row>
    <row r="74" spans="2:21" ht="15" thickBot="1" x14ac:dyDescent="0.4">
      <c r="B74" s="97" t="s">
        <v>59</v>
      </c>
      <c r="C74" s="50" t="s">
        <v>27</v>
      </c>
      <c r="D74" s="30" t="s">
        <v>59</v>
      </c>
      <c r="E74" s="98">
        <v>1</v>
      </c>
      <c r="F74" s="99" t="s">
        <v>26</v>
      </c>
      <c r="G74" s="94"/>
      <c r="H74" s="17">
        <f>E67/E74</f>
        <v>20</v>
      </c>
      <c r="I74" s="82">
        <f>G66*H74</f>
        <v>4.5662100456621006E-6</v>
      </c>
      <c r="J74" s="105">
        <f>E74*I74</f>
        <v>4.5662100456621006E-6</v>
      </c>
      <c r="K74" s="110">
        <f>E82</f>
        <v>16.5</v>
      </c>
      <c r="L74" s="107">
        <f>J74*K74</f>
        <v>7.5342465753424663E-5</v>
      </c>
      <c r="M74" s="18">
        <f>(L74/L78)</f>
        <v>0.36010475774770839</v>
      </c>
      <c r="N74" s="3"/>
      <c r="O74" s="7"/>
    </row>
    <row r="75" spans="2:21" ht="15" thickBot="1" x14ac:dyDescent="0.4">
      <c r="B75" s="100" t="s">
        <v>60</v>
      </c>
      <c r="C75" s="3" t="s">
        <v>24</v>
      </c>
      <c r="D75" s="26" t="s">
        <v>60</v>
      </c>
      <c r="E75" s="42">
        <v>1</v>
      </c>
      <c r="F75" s="101" t="s">
        <v>26</v>
      </c>
      <c r="G75" s="94"/>
      <c r="H75" s="17">
        <f>E68/E75</f>
        <v>20</v>
      </c>
      <c r="I75" s="82">
        <f>G66*H75</f>
        <v>4.5662100456621006E-6</v>
      </c>
      <c r="J75" s="105">
        <f t="shared" ref="J75" si="0">E75*I75</f>
        <v>4.5662100456621006E-6</v>
      </c>
      <c r="K75" s="110">
        <f>E83</f>
        <v>1.1000000000000001</v>
      </c>
      <c r="L75" s="107">
        <f>J75*K75</f>
        <v>5.0228310502283111E-6</v>
      </c>
      <c r="M75" s="18">
        <f>(L75/L78)</f>
        <v>2.400698384984723E-2</v>
      </c>
      <c r="N75" s="3"/>
      <c r="O75" s="7"/>
    </row>
    <row r="76" spans="2:21" ht="15" thickBot="1" x14ac:dyDescent="0.4">
      <c r="B76" s="102" t="s">
        <v>61</v>
      </c>
      <c r="C76" s="41" t="s">
        <v>27</v>
      </c>
      <c r="D76" s="26" t="s">
        <v>61</v>
      </c>
      <c r="E76" s="92">
        <v>1</v>
      </c>
      <c r="F76" s="101" t="s">
        <v>26</v>
      </c>
      <c r="G76" s="95"/>
      <c r="H76" s="17">
        <f>E69/E76</f>
        <v>3</v>
      </c>
      <c r="I76" s="82">
        <f>G66*H76</f>
        <v>6.84931506849315E-7</v>
      </c>
      <c r="J76" s="105">
        <f>E76*I76</f>
        <v>6.84931506849315E-7</v>
      </c>
      <c r="K76" s="110">
        <f>E84</f>
        <v>24.8</v>
      </c>
      <c r="L76" s="107">
        <f t="shared" ref="L76:L77" si="1">J76*K76</f>
        <v>1.6986301369863011E-5</v>
      </c>
      <c r="M76" s="93">
        <f>L76/L78</f>
        <v>8.1187254474028789E-2</v>
      </c>
      <c r="N76" s="23"/>
      <c r="O76" s="24"/>
    </row>
    <row r="77" spans="2:21" ht="15" thickBot="1" x14ac:dyDescent="0.4">
      <c r="B77" s="103" t="s">
        <v>36</v>
      </c>
      <c r="C77" s="78" t="s">
        <v>24</v>
      </c>
      <c r="D77" s="37" t="s">
        <v>36</v>
      </c>
      <c r="E77" s="47">
        <v>1</v>
      </c>
      <c r="F77" s="48" t="s">
        <v>26</v>
      </c>
      <c r="G77" s="96"/>
      <c r="H77" s="79">
        <f>E70/E77</f>
        <v>100</v>
      </c>
      <c r="I77" s="83">
        <f>G66*H77</f>
        <v>2.2831050228310503E-5</v>
      </c>
      <c r="J77" s="106">
        <f>E76*I77</f>
        <v>2.2831050228310503E-5</v>
      </c>
      <c r="K77" s="111">
        <f>E85</f>
        <v>4.9000000000000004</v>
      </c>
      <c r="L77" s="108">
        <f t="shared" si="1"/>
        <v>1.1187214611872147E-4</v>
      </c>
      <c r="M77" s="80">
        <f>(L77/L78)</f>
        <v>0.53470100392841557</v>
      </c>
      <c r="N77" s="78"/>
      <c r="O77" s="81"/>
    </row>
    <row r="78" spans="2:21" ht="15" thickBot="1" x14ac:dyDescent="0.4">
      <c r="B78" s="72" t="s">
        <v>28</v>
      </c>
      <c r="C78" s="73"/>
      <c r="D78" s="73"/>
      <c r="E78" s="73"/>
      <c r="F78" s="73"/>
      <c r="G78" s="73"/>
      <c r="H78" s="73"/>
      <c r="I78" s="73"/>
      <c r="J78" s="74"/>
      <c r="K78" s="73"/>
      <c r="L78" s="75">
        <f>SUM(L74:L77)</f>
        <v>2.0922374429223746E-4</v>
      </c>
      <c r="M78" s="76">
        <v>1</v>
      </c>
      <c r="N78" s="84">
        <f>SUM(N66:N77)</f>
        <v>0.11616245552722003</v>
      </c>
      <c r="O78" s="77">
        <v>1</v>
      </c>
    </row>
    <row r="79" spans="2:21" ht="15" thickBot="1" x14ac:dyDescent="0.4"/>
    <row r="80" spans="2:21" ht="17" thickBot="1" x14ac:dyDescent="0.4">
      <c r="B80" s="49" t="s">
        <v>39</v>
      </c>
      <c r="C80" s="86"/>
      <c r="D80" s="88" t="s">
        <v>54</v>
      </c>
      <c r="E80" s="89"/>
    </row>
    <row r="81" spans="2:7" ht="15" thickBot="1" x14ac:dyDescent="0.4">
      <c r="B81" s="51"/>
      <c r="C81" s="87"/>
      <c r="D81" s="90" t="s">
        <v>25</v>
      </c>
      <c r="E81" s="48"/>
    </row>
    <row r="82" spans="2:7" x14ac:dyDescent="0.35">
      <c r="B82" s="52" t="s">
        <v>59</v>
      </c>
      <c r="C82">
        <v>1</v>
      </c>
      <c r="D82" t="s">
        <v>26</v>
      </c>
      <c r="E82" s="53">
        <v>16.5</v>
      </c>
    </row>
    <row r="83" spans="2:7" x14ac:dyDescent="0.35">
      <c r="B83" s="52" t="s">
        <v>60</v>
      </c>
      <c r="C83">
        <v>1</v>
      </c>
      <c r="D83" t="s">
        <v>34</v>
      </c>
      <c r="E83" s="53">
        <v>1.1000000000000001</v>
      </c>
    </row>
    <row r="84" spans="2:7" x14ac:dyDescent="0.35">
      <c r="B84" s="52" t="s">
        <v>61</v>
      </c>
      <c r="C84">
        <v>1</v>
      </c>
      <c r="D84" t="s">
        <v>34</v>
      </c>
      <c r="E84" s="53">
        <v>24.8</v>
      </c>
    </row>
    <row r="85" spans="2:7" x14ac:dyDescent="0.35">
      <c r="B85" s="52" t="s">
        <v>36</v>
      </c>
      <c r="C85">
        <v>1</v>
      </c>
      <c r="D85" t="s">
        <v>34</v>
      </c>
      <c r="E85" s="53">
        <v>4.9000000000000004</v>
      </c>
    </row>
    <row r="86" spans="2:7" x14ac:dyDescent="0.35">
      <c r="B86" s="52" t="s">
        <v>63</v>
      </c>
      <c r="C86">
        <v>1</v>
      </c>
      <c r="D86" t="s">
        <v>34</v>
      </c>
      <c r="E86" s="53">
        <v>2.2999999999999998</v>
      </c>
    </row>
    <row r="87" spans="2:7" x14ac:dyDescent="0.35">
      <c r="B87" s="52" t="s">
        <v>33</v>
      </c>
      <c r="C87">
        <v>1</v>
      </c>
      <c r="D87" t="s">
        <v>37</v>
      </c>
      <c r="E87" s="54">
        <v>1.37</v>
      </c>
    </row>
    <row r="88" spans="2:7" ht="15" thickBot="1" x14ac:dyDescent="0.4">
      <c r="B88" s="55" t="s">
        <v>32</v>
      </c>
      <c r="C88" s="56">
        <v>1</v>
      </c>
      <c r="D88" s="56" t="s">
        <v>38</v>
      </c>
      <c r="E88" s="57">
        <v>10179</v>
      </c>
    </row>
    <row r="92" spans="2:7" x14ac:dyDescent="0.35">
      <c r="B92" s="116" t="s">
        <v>162</v>
      </c>
    </row>
    <row r="93" spans="2:7" ht="15" thickBot="1" x14ac:dyDescent="0.4"/>
    <row r="94" spans="2:7" x14ac:dyDescent="0.35">
      <c r="B94" s="70" t="s">
        <v>104</v>
      </c>
      <c r="C94" s="91">
        <v>0.113</v>
      </c>
      <c r="D94" s="117" t="s">
        <v>78</v>
      </c>
      <c r="F94" t="s">
        <v>83</v>
      </c>
      <c r="G94">
        <v>3600</v>
      </c>
    </row>
    <row r="95" spans="2:7" x14ac:dyDescent="0.35">
      <c r="B95" s="52" t="s">
        <v>105</v>
      </c>
      <c r="C95">
        <v>2.7</v>
      </c>
      <c r="D95" s="53" t="s">
        <v>79</v>
      </c>
    </row>
    <row r="96" spans="2:7" x14ac:dyDescent="0.35">
      <c r="B96" s="52" t="s">
        <v>81</v>
      </c>
      <c r="C96">
        <v>50000</v>
      </c>
      <c r="D96" s="53" t="s">
        <v>80</v>
      </c>
    </row>
    <row r="97" spans="2:10" x14ac:dyDescent="0.35">
      <c r="B97" s="52" t="s">
        <v>82</v>
      </c>
      <c r="C97">
        <v>0.9</v>
      </c>
      <c r="D97" s="53" t="s">
        <v>19</v>
      </c>
    </row>
    <row r="98" spans="2:10" ht="15" thickBot="1" x14ac:dyDescent="0.4">
      <c r="B98" s="55" t="s">
        <v>86</v>
      </c>
      <c r="C98" s="56">
        <v>0.8</v>
      </c>
      <c r="D98" s="118" t="s">
        <v>85</v>
      </c>
    </row>
    <row r="100" spans="2:10" x14ac:dyDescent="0.35">
      <c r="B100" s="60" t="s">
        <v>153</v>
      </c>
    </row>
    <row r="101" spans="2:10" x14ac:dyDescent="0.35">
      <c r="B101" t="s">
        <v>152</v>
      </c>
      <c r="H101">
        <f>T69/C96</f>
        <v>5.04E-2</v>
      </c>
      <c r="I101" t="s">
        <v>106</v>
      </c>
    </row>
    <row r="102" spans="2:10" x14ac:dyDescent="0.35">
      <c r="B102" t="s">
        <v>84</v>
      </c>
    </row>
    <row r="103" spans="2:10" x14ac:dyDescent="0.35">
      <c r="B103" t="s">
        <v>151</v>
      </c>
      <c r="H103">
        <f>H101/C97</f>
        <v>5.6000000000000001E-2</v>
      </c>
      <c r="I103" t="s">
        <v>34</v>
      </c>
    </row>
    <row r="108" spans="2:10" ht="16.5" x14ac:dyDescent="0.45">
      <c r="B108" t="s">
        <v>107</v>
      </c>
      <c r="D108" t="s">
        <v>91</v>
      </c>
      <c r="I108" t="s">
        <v>87</v>
      </c>
      <c r="J108">
        <f>H103*C95 +(H103*C94)/C98</f>
        <v>0.15911</v>
      </c>
    </row>
    <row r="109" spans="2:10" x14ac:dyDescent="0.35">
      <c r="B109" t="s">
        <v>108</v>
      </c>
      <c r="E109" t="s">
        <v>88</v>
      </c>
      <c r="F109">
        <f>0.12-0.159</f>
        <v>-3.9000000000000007E-2</v>
      </c>
      <c r="G109" t="s">
        <v>89</v>
      </c>
    </row>
    <row r="110" spans="2:10" x14ac:dyDescent="0.35">
      <c r="B110" t="s">
        <v>109</v>
      </c>
    </row>
    <row r="111" spans="2:10" x14ac:dyDescent="0.35">
      <c r="B111" t="s">
        <v>110</v>
      </c>
    </row>
    <row r="114" spans="2:12" x14ac:dyDescent="0.35">
      <c r="B114" s="116" t="s">
        <v>163</v>
      </c>
    </row>
    <row r="116" spans="2:12" x14ac:dyDescent="0.35">
      <c r="B116" s="60" t="s">
        <v>90</v>
      </c>
    </row>
    <row r="117" spans="2:12" x14ac:dyDescent="0.35">
      <c r="E117" t="s">
        <v>116</v>
      </c>
    </row>
    <row r="118" spans="2:12" x14ac:dyDescent="0.35">
      <c r="B118" t="s">
        <v>112</v>
      </c>
      <c r="C118">
        <f>E60*T53</f>
        <v>3.6</v>
      </c>
      <c r="D118" t="s">
        <v>102</v>
      </c>
      <c r="E118" s="149">
        <f>C118/C120</f>
        <v>0.58823529411764708</v>
      </c>
    </row>
    <row r="119" spans="2:12" x14ac:dyDescent="0.35">
      <c r="B119" t="s">
        <v>114</v>
      </c>
      <c r="C119">
        <f>E61</f>
        <v>2.52</v>
      </c>
      <c r="D119" t="s">
        <v>102</v>
      </c>
      <c r="E119" s="149">
        <f>C119/C120</f>
        <v>0.41176470588235292</v>
      </c>
    </row>
    <row r="120" spans="2:12" x14ac:dyDescent="0.35">
      <c r="B120" t="s">
        <v>111</v>
      </c>
      <c r="C120">
        <f>C118+C119</f>
        <v>6.12</v>
      </c>
      <c r="D120" t="s">
        <v>102</v>
      </c>
    </row>
    <row r="122" spans="2:12" x14ac:dyDescent="0.35">
      <c r="B122" t="s">
        <v>115</v>
      </c>
    </row>
    <row r="123" spans="2:12" x14ac:dyDescent="0.35">
      <c r="L123" t="s">
        <v>148</v>
      </c>
    </row>
    <row r="124" spans="2:12" x14ac:dyDescent="0.35">
      <c r="B124" t="s">
        <v>119</v>
      </c>
      <c r="D124" s="150">
        <f>N78*E118</f>
        <v>6.8330856192482373E-2</v>
      </c>
      <c r="E124" s="119" t="s">
        <v>145</v>
      </c>
      <c r="G124" s="151" t="s">
        <v>118</v>
      </c>
      <c r="H124" s="150">
        <f>D124</f>
        <v>6.8330856192482373E-2</v>
      </c>
      <c r="I124" s="119" t="s">
        <v>146</v>
      </c>
      <c r="L124" s="153">
        <f>H124*E60</f>
        <v>6.8330856192482373E-2</v>
      </c>
    </row>
    <row r="125" spans="2:12" x14ac:dyDescent="0.35">
      <c r="B125" t="s">
        <v>117</v>
      </c>
      <c r="D125" s="150">
        <f>N78*E119</f>
        <v>4.7831599334737657E-2</v>
      </c>
      <c r="E125" s="119" t="s">
        <v>144</v>
      </c>
      <c r="G125" s="151" t="s">
        <v>118</v>
      </c>
      <c r="H125" s="150">
        <f>D125/E61</f>
        <v>1.8980793386800657E-2</v>
      </c>
      <c r="I125" s="119" t="s">
        <v>147</v>
      </c>
      <c r="L125" s="153">
        <f>H125*E61</f>
        <v>4.7831599334737657E-2</v>
      </c>
    </row>
    <row r="126" spans="2:12" x14ac:dyDescent="0.35">
      <c r="L126" s="153">
        <f>L124+L125</f>
        <v>0.11616245552722003</v>
      </c>
    </row>
    <row r="127" spans="2:12" x14ac:dyDescent="0.35">
      <c r="B127" s="60" t="s">
        <v>94</v>
      </c>
      <c r="L127" s="153"/>
    </row>
    <row r="128" spans="2:12" x14ac:dyDescent="0.35">
      <c r="H128" t="s">
        <v>140</v>
      </c>
      <c r="L128" s="153"/>
    </row>
    <row r="129" spans="2:12" x14ac:dyDescent="0.35">
      <c r="B129" t="s">
        <v>138</v>
      </c>
      <c r="C129" t="s">
        <v>132</v>
      </c>
      <c r="E129">
        <v>1</v>
      </c>
      <c r="F129" t="s">
        <v>31</v>
      </c>
      <c r="L129" s="153"/>
    </row>
    <row r="130" spans="2:12" x14ac:dyDescent="0.35">
      <c r="C130" t="s">
        <v>133</v>
      </c>
      <c r="E130">
        <v>0.1</v>
      </c>
      <c r="F130" t="s">
        <v>134</v>
      </c>
      <c r="L130" s="153"/>
    </row>
    <row r="131" spans="2:12" x14ac:dyDescent="0.35">
      <c r="C131" t="s">
        <v>135</v>
      </c>
      <c r="E131">
        <f>E129*E130</f>
        <v>0.1</v>
      </c>
      <c r="F131" t="s">
        <v>137</v>
      </c>
      <c r="L131" s="153"/>
    </row>
    <row r="132" spans="2:12" x14ac:dyDescent="0.35">
      <c r="L132" s="153"/>
    </row>
    <row r="133" spans="2:12" x14ac:dyDescent="0.35">
      <c r="B133" t="s">
        <v>92</v>
      </c>
      <c r="C133" t="s">
        <v>131</v>
      </c>
      <c r="E133">
        <f>H103/C98</f>
        <v>6.9999999999999993E-2</v>
      </c>
      <c r="F133" t="s">
        <v>128</v>
      </c>
      <c r="L133" s="153"/>
    </row>
    <row r="134" spans="2:12" x14ac:dyDescent="0.35">
      <c r="C134" t="s">
        <v>130</v>
      </c>
      <c r="E134">
        <v>1.5</v>
      </c>
      <c r="F134" t="s">
        <v>136</v>
      </c>
      <c r="L134" s="153"/>
    </row>
    <row r="135" spans="2:12" x14ac:dyDescent="0.35">
      <c r="C135" t="s">
        <v>129</v>
      </c>
      <c r="E135" s="153">
        <f>E134*E133</f>
        <v>0.10499999999999998</v>
      </c>
      <c r="F135" t="s">
        <v>137</v>
      </c>
      <c r="H135" s="149">
        <f>E135/E137</f>
        <v>0.51219512195121941</v>
      </c>
      <c r="L135" s="153"/>
    </row>
    <row r="136" spans="2:12" x14ac:dyDescent="0.35">
      <c r="L136" s="153"/>
    </row>
    <row r="137" spans="2:12" x14ac:dyDescent="0.35">
      <c r="B137" t="s">
        <v>139</v>
      </c>
      <c r="E137" s="153">
        <f>E135+E131</f>
        <v>0.20499999999999999</v>
      </c>
      <c r="F137" t="s">
        <v>137</v>
      </c>
      <c r="H137" s="149">
        <f>E131/E137</f>
        <v>0.48780487804878053</v>
      </c>
      <c r="L137" s="153"/>
    </row>
    <row r="138" spans="2:12" x14ac:dyDescent="0.35">
      <c r="L138" s="153"/>
    </row>
    <row r="139" spans="2:12" x14ac:dyDescent="0.35">
      <c r="B139" t="s">
        <v>141</v>
      </c>
      <c r="L139" s="153"/>
    </row>
    <row r="140" spans="2:12" x14ac:dyDescent="0.35">
      <c r="L140" s="153" t="s">
        <v>148</v>
      </c>
    </row>
    <row r="141" spans="2:12" x14ac:dyDescent="0.35">
      <c r="B141" t="s">
        <v>119</v>
      </c>
      <c r="D141" s="150">
        <f>H135*N78</f>
        <v>5.9497843074917567E-2</v>
      </c>
      <c r="E141" s="119" t="s">
        <v>142</v>
      </c>
      <c r="G141" s="151" t="s">
        <v>118</v>
      </c>
      <c r="H141" s="150">
        <f>D141</f>
        <v>5.9497843074917567E-2</v>
      </c>
      <c r="I141" s="119" t="s">
        <v>146</v>
      </c>
      <c r="L141" s="154">
        <f>H141*E60</f>
        <v>5.9497843074917567E-2</v>
      </c>
    </row>
    <row r="142" spans="2:12" x14ac:dyDescent="0.35">
      <c r="B142" t="s">
        <v>117</v>
      </c>
      <c r="D142" s="150">
        <f>H137*N78</f>
        <v>5.6664612452302456E-2</v>
      </c>
      <c r="E142" s="119" t="s">
        <v>143</v>
      </c>
      <c r="G142" s="151" t="s">
        <v>118</v>
      </c>
      <c r="H142" s="150">
        <f>D142/E61</f>
        <v>2.2485957322342244E-2</v>
      </c>
      <c r="I142" s="119" t="s">
        <v>147</v>
      </c>
      <c r="L142" s="154">
        <f>H142*E61</f>
        <v>5.6664612452302456E-2</v>
      </c>
    </row>
    <row r="143" spans="2:12" x14ac:dyDescent="0.35">
      <c r="L143" s="153">
        <f>L141+L142</f>
        <v>0.11616245552722002</v>
      </c>
    </row>
    <row r="145" spans="2:21" x14ac:dyDescent="0.35">
      <c r="B145" t="s">
        <v>95</v>
      </c>
    </row>
    <row r="147" spans="2:21" ht="13.25" customHeight="1" x14ac:dyDescent="0.35">
      <c r="B147" s="120" t="s">
        <v>196</v>
      </c>
    </row>
    <row r="149" spans="2:21" ht="15" thickBot="1" x14ac:dyDescent="0.4"/>
    <row r="150" spans="2:21" ht="15" thickBot="1" x14ac:dyDescent="0.4">
      <c r="B150" s="66" t="s">
        <v>1</v>
      </c>
      <c r="C150" s="67"/>
      <c r="D150" s="67"/>
      <c r="E150" s="67"/>
      <c r="F150" s="67"/>
      <c r="G150" s="67"/>
      <c r="H150" s="67"/>
      <c r="I150" s="67"/>
      <c r="J150" s="67"/>
      <c r="K150" s="68" t="s">
        <v>2</v>
      </c>
      <c r="L150" s="67"/>
      <c r="M150" s="67"/>
      <c r="N150" s="67"/>
      <c r="O150" s="69"/>
    </row>
    <row r="151" spans="2:21" ht="15" thickBot="1" x14ac:dyDescent="0.4">
      <c r="B151" s="229" t="s">
        <v>3</v>
      </c>
      <c r="C151" s="50"/>
      <c r="D151" s="50"/>
      <c r="E151" s="50"/>
      <c r="F151" s="86" t="s">
        <v>4</v>
      </c>
      <c r="G151" s="128"/>
      <c r="H151" s="129" t="s">
        <v>5</v>
      </c>
      <c r="I151" s="99"/>
      <c r="J151" s="251" t="s">
        <v>6</v>
      </c>
      <c r="K151" s="230"/>
      <c r="L151" s="265" t="s">
        <v>51</v>
      </c>
      <c r="M151" s="266"/>
      <c r="N151" s="266"/>
      <c r="O151" s="267"/>
    </row>
    <row r="152" spans="2:21" ht="15" thickBot="1" x14ac:dyDescent="0.4">
      <c r="B152" s="130"/>
      <c r="C152" s="3" t="s">
        <v>7</v>
      </c>
      <c r="D152" s="3" t="s">
        <v>8</v>
      </c>
      <c r="E152" s="3" t="s">
        <v>9</v>
      </c>
      <c r="F152" s="126" t="s">
        <v>10</v>
      </c>
      <c r="G152" s="130"/>
      <c r="H152" s="3"/>
      <c r="I152" s="131" t="s">
        <v>11</v>
      </c>
      <c r="J152" s="252"/>
      <c r="K152" s="9" t="s">
        <v>12</v>
      </c>
      <c r="L152" s="268" t="s">
        <v>53</v>
      </c>
      <c r="M152" s="269"/>
      <c r="N152" s="268" t="s">
        <v>52</v>
      </c>
      <c r="O152" s="270"/>
    </row>
    <row r="153" spans="2:21" ht="29.5" thickBot="1" x14ac:dyDescent="0.4">
      <c r="B153" s="231" t="s">
        <v>13</v>
      </c>
      <c r="C153" s="232"/>
      <c r="D153" s="232"/>
      <c r="E153" s="232"/>
      <c r="F153" s="233"/>
      <c r="G153" s="234" t="s">
        <v>14</v>
      </c>
      <c r="H153" s="78" t="s">
        <v>15</v>
      </c>
      <c r="I153" s="170" t="s">
        <v>16</v>
      </c>
      <c r="J153" s="253"/>
      <c r="K153" s="235" t="s">
        <v>17</v>
      </c>
      <c r="L153" s="78" t="s">
        <v>18</v>
      </c>
      <c r="M153" s="81" t="s">
        <v>19</v>
      </c>
      <c r="N153" s="78" t="s">
        <v>18</v>
      </c>
      <c r="O153" s="170" t="s">
        <v>19</v>
      </c>
    </row>
    <row r="154" spans="2:21" ht="15" thickBot="1" x14ac:dyDescent="0.4">
      <c r="B154" s="271"/>
      <c r="C154" s="223" t="s">
        <v>20</v>
      </c>
      <c r="D154" s="223" t="s">
        <v>99</v>
      </c>
      <c r="E154" s="224">
        <v>1</v>
      </c>
      <c r="F154" s="225" t="s">
        <v>25</v>
      </c>
      <c r="G154" s="226"/>
      <c r="H154" s="41"/>
      <c r="I154" s="125"/>
      <c r="J154" s="227"/>
      <c r="K154" s="26"/>
      <c r="L154" s="226"/>
      <c r="M154" s="101"/>
      <c r="N154" s="228"/>
      <c r="O154" s="101"/>
    </row>
    <row r="155" spans="2:21" ht="15" thickBot="1" x14ac:dyDescent="0.4">
      <c r="B155" s="271"/>
      <c r="C155" s="3" t="s">
        <v>22</v>
      </c>
      <c r="D155" s="3" t="s">
        <v>97</v>
      </c>
      <c r="E155" s="19">
        <v>0.33</v>
      </c>
      <c r="F155" s="104" t="s">
        <v>34</v>
      </c>
      <c r="G155" s="130"/>
      <c r="H155" s="3"/>
      <c r="I155" s="104"/>
      <c r="J155" s="139"/>
      <c r="K155" s="26"/>
      <c r="L155" s="130"/>
      <c r="M155" s="122"/>
      <c r="N155" s="94"/>
      <c r="O155" s="122"/>
      <c r="S155" t="s">
        <v>189</v>
      </c>
    </row>
    <row r="156" spans="2:21" ht="15" thickBot="1" x14ac:dyDescent="0.4">
      <c r="B156" s="271"/>
      <c r="C156" s="3" t="s">
        <v>22</v>
      </c>
      <c r="D156" s="3" t="s">
        <v>98</v>
      </c>
      <c r="E156" s="19">
        <v>0.03</v>
      </c>
      <c r="F156" s="104" t="s">
        <v>34</v>
      </c>
      <c r="G156" s="130"/>
      <c r="H156" s="3"/>
      <c r="I156" s="104"/>
      <c r="J156" s="139"/>
      <c r="K156" s="26"/>
      <c r="L156" s="130"/>
      <c r="M156" s="122"/>
      <c r="N156" s="94"/>
      <c r="O156" s="122"/>
      <c r="T156">
        <v>1000</v>
      </c>
      <c r="U156" t="s">
        <v>46</v>
      </c>
    </row>
    <row r="157" spans="2:21" ht="15" thickBot="1" x14ac:dyDescent="0.4">
      <c r="B157" s="272"/>
      <c r="C157" s="56" t="s">
        <v>22</v>
      </c>
      <c r="D157" s="78" t="s">
        <v>127</v>
      </c>
      <c r="E157" s="14">
        <v>1</v>
      </c>
      <c r="F157" s="127" t="s">
        <v>25</v>
      </c>
      <c r="G157" s="130"/>
      <c r="H157" s="3"/>
      <c r="I157" s="104"/>
      <c r="J157" s="139"/>
      <c r="K157" s="26"/>
      <c r="L157" s="130"/>
      <c r="M157" s="122"/>
      <c r="N157" s="94"/>
      <c r="O157" s="122"/>
    </row>
    <row r="158" spans="2:21" ht="15" thickBot="1" x14ac:dyDescent="0.4">
      <c r="B158" s="28" t="s">
        <v>96</v>
      </c>
      <c r="C158" s="29" t="s">
        <v>24</v>
      </c>
      <c r="D158" s="50" t="s">
        <v>99</v>
      </c>
      <c r="E158" s="31">
        <v>1</v>
      </c>
      <c r="F158" s="32" t="s">
        <v>25</v>
      </c>
      <c r="G158" s="132">
        <f>E154/E158</f>
        <v>1</v>
      </c>
      <c r="H158" s="3"/>
      <c r="I158" s="104"/>
      <c r="J158" s="139"/>
      <c r="K158" s="163">
        <f>E168*K168*I168+E171*K171*I171+E169*I169*K169</f>
        <v>0.14408000000000001</v>
      </c>
      <c r="L158" s="130"/>
      <c r="M158" s="122"/>
      <c r="N158" s="107">
        <f>E158*G158*K158</f>
        <v>0.14408000000000001</v>
      </c>
      <c r="O158" s="146">
        <f>(N158/N172)</f>
        <v>0.841033663528162</v>
      </c>
    </row>
    <row r="159" spans="2:21" ht="15" thickBot="1" x14ac:dyDescent="0.4">
      <c r="B159" s="33"/>
      <c r="C159" s="26" t="s">
        <v>22</v>
      </c>
      <c r="D159" s="26" t="s">
        <v>93</v>
      </c>
      <c r="E159" s="40">
        <f>T164</f>
        <v>0.06</v>
      </c>
      <c r="F159" s="44" t="s">
        <v>31</v>
      </c>
      <c r="G159" s="133"/>
      <c r="H159" s="3"/>
      <c r="I159" s="104"/>
      <c r="J159" s="139"/>
      <c r="K159" s="40"/>
      <c r="L159" s="130"/>
      <c r="M159" s="122"/>
      <c r="N159" s="143"/>
      <c r="O159" s="146"/>
    </row>
    <row r="160" spans="2:21" ht="15" thickBot="1" x14ac:dyDescent="0.4">
      <c r="B160" s="33"/>
      <c r="C160" s="26" t="s">
        <v>22</v>
      </c>
      <c r="D160" s="26" t="s">
        <v>160</v>
      </c>
      <c r="E160" s="40">
        <v>0</v>
      </c>
      <c r="F160" s="44" t="s">
        <v>26</v>
      </c>
      <c r="G160" s="133"/>
      <c r="H160" s="3"/>
      <c r="I160" s="104"/>
      <c r="J160" s="139"/>
      <c r="K160" s="40"/>
      <c r="L160" s="130"/>
      <c r="M160" s="122"/>
      <c r="N160" s="143"/>
      <c r="O160" s="146"/>
    </row>
    <row r="161" spans="2:21" ht="15" thickBot="1" x14ac:dyDescent="0.4">
      <c r="B161" s="35"/>
      <c r="C161" s="37" t="s">
        <v>22</v>
      </c>
      <c r="D161" s="37" t="s">
        <v>182</v>
      </c>
      <c r="E161" s="47">
        <f>T163/T156</f>
        <v>1.2999999999999999E-2</v>
      </c>
      <c r="F161" s="48" t="s">
        <v>34</v>
      </c>
      <c r="G161" s="133"/>
      <c r="H161" s="3"/>
      <c r="I161" s="104"/>
      <c r="J161" s="139"/>
      <c r="K161" s="40"/>
      <c r="L161" s="130"/>
      <c r="M161" s="122"/>
      <c r="N161" s="143"/>
      <c r="O161" s="146"/>
    </row>
    <row r="162" spans="2:21" ht="15" thickBot="1" x14ac:dyDescent="0.4">
      <c r="B162" s="28" t="s">
        <v>127</v>
      </c>
      <c r="C162" s="29" t="s">
        <v>24</v>
      </c>
      <c r="D162" s="30" t="s">
        <v>177</v>
      </c>
      <c r="E162" s="136">
        <v>1</v>
      </c>
      <c r="F162" s="89" t="s">
        <v>25</v>
      </c>
      <c r="G162" s="132">
        <f>E157/E162</f>
        <v>1</v>
      </c>
      <c r="H162" s="3"/>
      <c r="I162" s="104"/>
      <c r="J162" s="139"/>
      <c r="K162" s="163">
        <f>E169*I169*K169+E167*I167*K167</f>
        <v>1.82E-3</v>
      </c>
      <c r="L162" s="130"/>
      <c r="M162" s="122"/>
      <c r="N162" s="107">
        <f>E162*G162*K162</f>
        <v>1.82E-3</v>
      </c>
      <c r="O162" s="146">
        <f>(N162/N172)</f>
        <v>1.0623828897982057E-2</v>
      </c>
      <c r="S162" t="s">
        <v>172</v>
      </c>
    </row>
    <row r="163" spans="2:21" ht="15" thickBot="1" x14ac:dyDescent="0.4">
      <c r="B163" s="33"/>
      <c r="C163" s="26" t="s">
        <v>22</v>
      </c>
      <c r="D163" s="26" t="s">
        <v>181</v>
      </c>
      <c r="E163" s="40">
        <f>T163/T156</f>
        <v>1.2999999999999999E-2</v>
      </c>
      <c r="F163" s="44" t="s">
        <v>25</v>
      </c>
      <c r="G163" s="133"/>
      <c r="H163" s="3"/>
      <c r="I163" s="104"/>
      <c r="J163" s="139"/>
      <c r="K163" s="40"/>
      <c r="L163" s="130"/>
      <c r="M163" s="122"/>
      <c r="N163" s="143"/>
      <c r="O163" s="146"/>
      <c r="S163" t="s">
        <v>173</v>
      </c>
      <c r="T163">
        <v>13</v>
      </c>
      <c r="U163" t="s">
        <v>174</v>
      </c>
    </row>
    <row r="164" spans="2:21" ht="15" thickBot="1" x14ac:dyDescent="0.4">
      <c r="B164" s="33"/>
      <c r="C164" s="26" t="s">
        <v>22</v>
      </c>
      <c r="D164" s="26" t="s">
        <v>180</v>
      </c>
      <c r="E164" s="40">
        <v>0</v>
      </c>
      <c r="F164" s="44" t="s">
        <v>25</v>
      </c>
      <c r="G164" s="133"/>
      <c r="H164" s="3"/>
      <c r="I164" s="104"/>
      <c r="J164" s="139"/>
      <c r="K164" s="40"/>
      <c r="L164" s="130"/>
      <c r="M164" s="122"/>
      <c r="N164" s="143"/>
      <c r="O164" s="146"/>
      <c r="S164" t="s">
        <v>176</v>
      </c>
      <c r="T164">
        <v>0.06</v>
      </c>
      <c r="U164" t="s">
        <v>175</v>
      </c>
    </row>
    <row r="165" spans="2:21" ht="15" thickBot="1" x14ac:dyDescent="0.4">
      <c r="B165" s="124" t="s">
        <v>97</v>
      </c>
      <c r="C165" s="29" t="s">
        <v>24</v>
      </c>
      <c r="D165" s="30" t="s">
        <v>97</v>
      </c>
      <c r="E165" s="136">
        <v>1</v>
      </c>
      <c r="F165" s="89" t="s">
        <v>26</v>
      </c>
      <c r="G165" s="132">
        <f>E155/E165</f>
        <v>0.33</v>
      </c>
      <c r="H165" s="3"/>
      <c r="I165" s="104"/>
      <c r="J165" s="139"/>
      <c r="K165" s="19">
        <v>1.1000000000000001E-3</v>
      </c>
      <c r="L165" s="130"/>
      <c r="M165" s="122"/>
      <c r="N165" s="107">
        <f>E165*G165*K165</f>
        <v>3.6300000000000004E-4</v>
      </c>
      <c r="O165" s="146">
        <f>(N165/N172)</f>
        <v>2.1189285109711469E-3</v>
      </c>
      <c r="P165" s="19">
        <f>N165</f>
        <v>3.6300000000000004E-4</v>
      </c>
    </row>
    <row r="166" spans="2:21" ht="15" thickBot="1" x14ac:dyDescent="0.4">
      <c r="B166" s="45" t="s">
        <v>100</v>
      </c>
      <c r="C166" s="25" t="s">
        <v>24</v>
      </c>
      <c r="D166" s="26" t="s">
        <v>100</v>
      </c>
      <c r="E166" s="27">
        <v>1</v>
      </c>
      <c r="F166" s="44" t="s">
        <v>26</v>
      </c>
      <c r="G166" s="132">
        <f>E156/E166</f>
        <v>0.03</v>
      </c>
      <c r="H166" s="3"/>
      <c r="I166" s="104"/>
      <c r="J166" s="139"/>
      <c r="K166" s="163">
        <v>0.83499999999999996</v>
      </c>
      <c r="L166" s="130"/>
      <c r="M166" s="122"/>
      <c r="N166" s="107">
        <f t="shared" ref="N166" si="2">E166*G166*K166</f>
        <v>2.5049999999999999E-2</v>
      </c>
      <c r="O166" s="146">
        <f>(N166/N172)</f>
        <v>0.14622357906288488</v>
      </c>
      <c r="P166" s="19">
        <f>N166</f>
        <v>2.5049999999999999E-2</v>
      </c>
    </row>
    <row r="167" spans="2:21" ht="15" thickBot="1" x14ac:dyDescent="0.4">
      <c r="B167" s="45" t="s">
        <v>179</v>
      </c>
      <c r="C167" s="26" t="s">
        <v>27</v>
      </c>
      <c r="D167" s="26" t="s">
        <v>181</v>
      </c>
      <c r="E167" s="27">
        <v>1</v>
      </c>
      <c r="F167" s="44" t="s">
        <v>26</v>
      </c>
      <c r="G167" s="132"/>
      <c r="H167" s="221">
        <f>E163/E167</f>
        <v>1.2999999999999999E-2</v>
      </c>
      <c r="I167" s="220">
        <f>H167*G158</f>
        <v>1.2999999999999999E-2</v>
      </c>
      <c r="J167" s="140">
        <f>E167*I167</f>
        <v>1.2999999999999999E-2</v>
      </c>
      <c r="K167" s="19">
        <v>0.14000000000000001</v>
      </c>
      <c r="L167" s="145">
        <f>J167*K167</f>
        <v>1.82E-3</v>
      </c>
      <c r="M167" s="196">
        <f>(L167/L172)</f>
        <v>1.2474297464016449E-2</v>
      </c>
      <c r="N167" s="107"/>
      <c r="O167" s="146"/>
      <c r="P167" s="19">
        <f>L167</f>
        <v>1.82E-3</v>
      </c>
    </row>
    <row r="168" spans="2:21" ht="15" thickBot="1" x14ac:dyDescent="0.4">
      <c r="B168" s="45" t="s">
        <v>185</v>
      </c>
      <c r="C168" s="25" t="s">
        <v>24</v>
      </c>
      <c r="D168" s="26" t="s">
        <v>29</v>
      </c>
      <c r="E168" s="27">
        <v>1</v>
      </c>
      <c r="F168" s="34" t="s">
        <v>31</v>
      </c>
      <c r="G168" s="137"/>
      <c r="H168" s="164">
        <f>E159/E168</f>
        <v>0.06</v>
      </c>
      <c r="I168" s="163">
        <f>H168*G158</f>
        <v>0.06</v>
      </c>
      <c r="J168" s="140">
        <f>E168*I168</f>
        <v>0.06</v>
      </c>
      <c r="K168" s="19">
        <v>0.33</v>
      </c>
      <c r="L168" s="145">
        <f>J168*K168</f>
        <v>1.9800000000000002E-2</v>
      </c>
      <c r="M168" s="196">
        <f>(L168/L172)</f>
        <v>0.135709389993146</v>
      </c>
      <c r="N168" s="94"/>
      <c r="O168" s="122"/>
      <c r="P168" s="19">
        <f t="shared" ref="P168:P171" si="3">L168</f>
        <v>1.9800000000000002E-2</v>
      </c>
    </row>
    <row r="169" spans="2:21" ht="15" thickBot="1" x14ac:dyDescent="0.4">
      <c r="B169" s="45" t="s">
        <v>161</v>
      </c>
      <c r="C169" s="25" t="s">
        <v>24</v>
      </c>
      <c r="D169" s="26" t="s">
        <v>160</v>
      </c>
      <c r="E169" s="27">
        <v>1</v>
      </c>
      <c r="F169" s="34" t="s">
        <v>26</v>
      </c>
      <c r="G169" s="171"/>
      <c r="H169" s="164">
        <f>E160/E169</f>
        <v>0</v>
      </c>
      <c r="I169" s="163">
        <f>H169*G158</f>
        <v>0</v>
      </c>
      <c r="J169" s="140">
        <f>E169*I169</f>
        <v>0</v>
      </c>
      <c r="K169" s="19">
        <v>0.63</v>
      </c>
      <c r="L169" s="145">
        <f>J169*K169</f>
        <v>0</v>
      </c>
      <c r="M169" s="196">
        <f>(L169/L172)</f>
        <v>0</v>
      </c>
      <c r="N169" s="95"/>
      <c r="O169" s="162"/>
      <c r="P169" s="19">
        <f t="shared" si="3"/>
        <v>0</v>
      </c>
    </row>
    <row r="170" spans="2:21" ht="15" thickBot="1" x14ac:dyDescent="0.4">
      <c r="B170" s="45" t="s">
        <v>161</v>
      </c>
      <c r="C170" s="25" t="s">
        <v>24</v>
      </c>
      <c r="D170" s="26" t="s">
        <v>190</v>
      </c>
      <c r="E170" s="204">
        <v>1</v>
      </c>
      <c r="F170" s="205" t="s">
        <v>26</v>
      </c>
      <c r="G170" s="171"/>
      <c r="H170" s="164">
        <f>E164/E170</f>
        <v>0</v>
      </c>
      <c r="I170" s="163">
        <f>H170*G158</f>
        <v>0</v>
      </c>
      <c r="J170" s="140">
        <f>E170*I170</f>
        <v>0</v>
      </c>
      <c r="K170" s="19">
        <v>0.63</v>
      </c>
      <c r="L170" s="145">
        <f>J170*K170</f>
        <v>0</v>
      </c>
      <c r="M170" s="196">
        <f>(L170/L172)</f>
        <v>0</v>
      </c>
      <c r="N170" s="95"/>
      <c r="O170" s="162"/>
      <c r="P170" s="19">
        <f t="shared" si="3"/>
        <v>0</v>
      </c>
    </row>
    <row r="171" spans="2:21" ht="15" thickBot="1" x14ac:dyDescent="0.4">
      <c r="B171" s="46" t="s">
        <v>186</v>
      </c>
      <c r="C171" s="37" t="s">
        <v>24</v>
      </c>
      <c r="D171" s="37" t="s">
        <v>182</v>
      </c>
      <c r="E171" s="47">
        <v>1</v>
      </c>
      <c r="F171" s="48" t="s">
        <v>26</v>
      </c>
      <c r="G171" s="165"/>
      <c r="H171" s="166">
        <f>E161/E171</f>
        <v>1.2999999999999999E-2</v>
      </c>
      <c r="I171" s="167">
        <f>H171*G158</f>
        <v>1.2999999999999999E-2</v>
      </c>
      <c r="J171" s="168">
        <f>E171*I171</f>
        <v>1.2999999999999999E-2</v>
      </c>
      <c r="K171" s="123">
        <v>9.56</v>
      </c>
      <c r="L171" s="169">
        <f>J171*K171</f>
        <v>0.12428</v>
      </c>
      <c r="M171" s="211">
        <f>(L171/L172)</f>
        <v>0.85181631254283752</v>
      </c>
      <c r="N171" s="96"/>
      <c r="O171" s="170"/>
      <c r="P171" s="19">
        <f t="shared" si="3"/>
        <v>0.12428</v>
      </c>
    </row>
    <row r="172" spans="2:21" ht="15" thickBot="1" x14ac:dyDescent="0.4">
      <c r="B172" s="161" t="s">
        <v>28</v>
      </c>
      <c r="C172" s="135"/>
      <c r="D172" s="135"/>
      <c r="E172" s="135"/>
      <c r="F172" s="138"/>
      <c r="G172" s="134"/>
      <c r="H172" s="135"/>
      <c r="I172" s="138"/>
      <c r="J172" s="141"/>
      <c r="K172" s="142"/>
      <c r="L172" s="147">
        <f>SUM(L167:L171)</f>
        <v>0.1459</v>
      </c>
      <c r="M172" s="148">
        <f>SUM(M167:M171)</f>
        <v>1</v>
      </c>
      <c r="N172" s="144">
        <f>SUM(N158:N171)</f>
        <v>0.17131299999999999</v>
      </c>
      <c r="O172" s="77">
        <f>SUM(O158:O166)</f>
        <v>1.0000000000000002</v>
      </c>
      <c r="P172" s="222">
        <f>SUM(P165:P171)</f>
        <v>0.17131299999999999</v>
      </c>
    </row>
    <row r="173" spans="2:21" x14ac:dyDescent="0.35">
      <c r="B173" s="63"/>
      <c r="C173" s="26"/>
      <c r="D173" s="26"/>
      <c r="E173" s="26"/>
      <c r="F173" s="26"/>
      <c r="G173" s="26"/>
      <c r="H173" s="26"/>
      <c r="I173" s="26"/>
      <c r="J173" s="26"/>
      <c r="K173" s="26"/>
      <c r="L173" s="158"/>
      <c r="M173" s="159"/>
      <c r="N173" s="160"/>
      <c r="O173" s="159"/>
    </row>
    <row r="174" spans="2:21" x14ac:dyDescent="0.35">
      <c r="B174" s="60" t="s">
        <v>154</v>
      </c>
      <c r="C174" s="60" t="s">
        <v>155</v>
      </c>
      <c r="D174" s="60" t="s">
        <v>156</v>
      </c>
      <c r="E174" s="60" t="s">
        <v>159</v>
      </c>
      <c r="F174" s="26"/>
      <c r="G174" s="26"/>
      <c r="H174" s="26"/>
      <c r="I174" s="26"/>
      <c r="J174" s="26"/>
      <c r="K174" s="26"/>
      <c r="L174" s="158"/>
      <c r="M174" s="159"/>
      <c r="N174" s="160"/>
      <c r="O174" s="159"/>
    </row>
    <row r="175" spans="2:21" x14ac:dyDescent="0.35">
      <c r="B175" t="s">
        <v>182</v>
      </c>
      <c r="C175">
        <v>1</v>
      </c>
      <c r="D175" t="s">
        <v>26</v>
      </c>
      <c r="E175">
        <v>9.56</v>
      </c>
      <c r="F175" s="26"/>
      <c r="G175" s="26"/>
      <c r="H175" s="26"/>
      <c r="I175" s="26"/>
      <c r="J175" s="26"/>
      <c r="K175" s="26"/>
      <c r="L175" s="158"/>
      <c r="M175" s="159"/>
      <c r="N175" s="160"/>
      <c r="O175" s="159"/>
    </row>
    <row r="176" spans="2:21" x14ac:dyDescent="0.35">
      <c r="B176" t="s">
        <v>97</v>
      </c>
      <c r="C176">
        <v>1</v>
      </c>
      <c r="D176" t="s">
        <v>26</v>
      </c>
      <c r="E176">
        <v>1.1000000000000001E-3</v>
      </c>
      <c r="F176" s="26"/>
      <c r="G176" s="26"/>
      <c r="H176" s="26"/>
      <c r="I176" s="26"/>
      <c r="J176" s="26"/>
      <c r="K176" s="26"/>
      <c r="L176" s="158"/>
      <c r="M176" s="159"/>
      <c r="N176" s="160"/>
      <c r="O176" s="159"/>
    </row>
    <row r="177" spans="1:15" x14ac:dyDescent="0.35">
      <c r="B177" t="s">
        <v>157</v>
      </c>
      <c r="C177">
        <v>1</v>
      </c>
      <c r="D177" t="s">
        <v>26</v>
      </c>
      <c r="E177">
        <v>0.83499999999999996</v>
      </c>
      <c r="F177" s="26"/>
      <c r="G177" s="26"/>
      <c r="H177" s="26"/>
      <c r="I177" s="26"/>
      <c r="J177" s="26"/>
      <c r="K177" s="26"/>
      <c r="L177" s="158"/>
      <c r="M177" s="159"/>
      <c r="N177" s="160"/>
      <c r="O177" s="159"/>
    </row>
    <row r="178" spans="1:15" x14ac:dyDescent="0.35">
      <c r="B178" t="s">
        <v>93</v>
      </c>
      <c r="C178">
        <v>1</v>
      </c>
      <c r="D178" t="s">
        <v>31</v>
      </c>
      <c r="E178">
        <v>0.33</v>
      </c>
      <c r="F178" s="26"/>
      <c r="G178" s="26"/>
      <c r="H178" s="26"/>
      <c r="I178" s="26"/>
      <c r="J178" s="26"/>
      <c r="K178" s="26"/>
      <c r="L178" s="158"/>
      <c r="M178" s="159"/>
      <c r="N178" s="160"/>
      <c r="O178" s="159"/>
    </row>
    <row r="179" spans="1:15" x14ac:dyDescent="0.35">
      <c r="B179" t="s">
        <v>178</v>
      </c>
      <c r="C179">
        <v>1</v>
      </c>
      <c r="D179" t="s">
        <v>26</v>
      </c>
      <c r="E179" s="150">
        <f>0.00289+0.00744+0.00349</f>
        <v>1.3820000000000001E-2</v>
      </c>
      <c r="F179" s="26"/>
      <c r="G179" s="26"/>
      <c r="H179" s="26"/>
      <c r="I179" s="26"/>
      <c r="J179" s="26"/>
      <c r="K179" s="26"/>
      <c r="L179" s="158"/>
      <c r="M179" s="159"/>
      <c r="N179" s="160"/>
      <c r="O179" s="159"/>
    </row>
    <row r="180" spans="1:15" x14ac:dyDescent="0.35">
      <c r="B180" t="s">
        <v>158</v>
      </c>
      <c r="C180">
        <v>1</v>
      </c>
      <c r="D180" t="s">
        <v>26</v>
      </c>
      <c r="E180">
        <v>0.63</v>
      </c>
      <c r="F180" s="26"/>
      <c r="G180" s="26"/>
      <c r="H180" s="26"/>
      <c r="I180" s="26"/>
      <c r="J180" s="26"/>
      <c r="K180" s="26"/>
      <c r="L180" s="158"/>
      <c r="M180" s="159"/>
      <c r="N180" s="160"/>
      <c r="O180" s="159"/>
    </row>
    <row r="181" spans="1:15" x14ac:dyDescent="0.35">
      <c r="F181" s="26"/>
      <c r="G181" s="26"/>
      <c r="H181" s="26"/>
      <c r="I181" s="26"/>
      <c r="J181" s="26"/>
      <c r="K181" s="26"/>
      <c r="L181" s="158"/>
      <c r="M181" s="159"/>
      <c r="N181" s="160"/>
      <c r="O181" s="159"/>
    </row>
    <row r="184" spans="1:15" x14ac:dyDescent="0.35">
      <c r="B184" s="155" t="s">
        <v>164</v>
      </c>
      <c r="C184" t="s">
        <v>167</v>
      </c>
      <c r="E184" t="s">
        <v>169</v>
      </c>
    </row>
    <row r="185" spans="1:15" x14ac:dyDescent="0.35">
      <c r="B185" s="156"/>
      <c r="C185" s="157">
        <v>0.6</v>
      </c>
      <c r="D185" t="s">
        <v>168</v>
      </c>
      <c r="E185" s="157">
        <v>0.8</v>
      </c>
      <c r="F185" t="s">
        <v>170</v>
      </c>
    </row>
    <row r="186" spans="1:15" x14ac:dyDescent="0.35">
      <c r="B186" s="156"/>
      <c r="C186" s="157">
        <v>0.4</v>
      </c>
      <c r="D186" t="s">
        <v>166</v>
      </c>
      <c r="E186" s="157">
        <f>1-E185</f>
        <v>0.19999999999999996</v>
      </c>
      <c r="F186" t="s">
        <v>171</v>
      </c>
    </row>
    <row r="187" spans="1:15" x14ac:dyDescent="0.35">
      <c r="A187" s="156"/>
    </row>
    <row r="188" spans="1:15" x14ac:dyDescent="0.35">
      <c r="E188" s="40"/>
    </row>
    <row r="189" spans="1:15" x14ac:dyDescent="0.35">
      <c r="B189" s="120" t="s">
        <v>165</v>
      </c>
    </row>
    <row r="202" spans="2:2" x14ac:dyDescent="0.35">
      <c r="B202" s="120"/>
    </row>
    <row r="203" spans="2:2" x14ac:dyDescent="0.35">
      <c r="B203" s="120"/>
    </row>
    <row r="204" spans="2:2" x14ac:dyDescent="0.35">
      <c r="B204" s="121"/>
    </row>
    <row r="206" spans="2:2" x14ac:dyDescent="0.35">
      <c r="B206" s="120"/>
    </row>
    <row r="214" spans="2:15" ht="15" thickBot="1" x14ac:dyDescent="0.4"/>
    <row r="215" spans="2:15" ht="15" thickBot="1" x14ac:dyDescent="0.4">
      <c r="B215" s="66" t="s">
        <v>1</v>
      </c>
      <c r="C215" s="172"/>
      <c r="D215" s="172"/>
      <c r="E215" s="172"/>
      <c r="F215" s="172"/>
      <c r="G215" s="172"/>
      <c r="H215" s="172"/>
      <c r="I215" s="172"/>
      <c r="J215" s="172"/>
      <c r="K215" s="68" t="s">
        <v>2</v>
      </c>
      <c r="L215" s="172"/>
      <c r="M215" s="172"/>
      <c r="N215" s="172"/>
      <c r="O215" s="173"/>
    </row>
    <row r="216" spans="2:15" ht="15" customHeight="1" thickBot="1" x14ac:dyDescent="0.4">
      <c r="B216" s="243" t="s">
        <v>3</v>
      </c>
      <c r="C216" s="182"/>
      <c r="D216" s="182"/>
      <c r="E216" s="182"/>
      <c r="F216" s="183" t="s">
        <v>4</v>
      </c>
      <c r="G216" s="176"/>
      <c r="H216" s="129" t="s">
        <v>5</v>
      </c>
      <c r="I216" s="177"/>
      <c r="J216" s="251" t="s">
        <v>6</v>
      </c>
      <c r="K216" s="244"/>
      <c r="L216" s="254" t="s">
        <v>51</v>
      </c>
      <c r="M216" s="255"/>
      <c r="N216" s="255"/>
      <c r="O216" s="256"/>
    </row>
    <row r="217" spans="2:15" ht="15" customHeight="1" thickBot="1" x14ac:dyDescent="0.4">
      <c r="B217" s="179"/>
      <c r="C217" s="178" t="s">
        <v>7</v>
      </c>
      <c r="D217" s="178" t="s">
        <v>8</v>
      </c>
      <c r="E217" s="178" t="s">
        <v>9</v>
      </c>
      <c r="F217" s="126" t="s">
        <v>10</v>
      </c>
      <c r="G217" s="179"/>
      <c r="H217" s="178"/>
      <c r="I217" s="180" t="s">
        <v>11</v>
      </c>
      <c r="J217" s="252"/>
      <c r="K217" s="181" t="s">
        <v>12</v>
      </c>
      <c r="L217" s="257" t="s">
        <v>53</v>
      </c>
      <c r="M217" s="258"/>
      <c r="N217" s="257" t="s">
        <v>52</v>
      </c>
      <c r="O217" s="259"/>
    </row>
    <row r="218" spans="2:15" ht="15" thickBot="1" x14ac:dyDescent="0.4">
      <c r="B218" s="231" t="s">
        <v>13</v>
      </c>
      <c r="C218" s="245"/>
      <c r="D218" s="245"/>
      <c r="E218" s="245"/>
      <c r="F218" s="246"/>
      <c r="G218" s="247" t="s">
        <v>14</v>
      </c>
      <c r="H218" s="188" t="s">
        <v>15</v>
      </c>
      <c r="I218" s="213" t="s">
        <v>16</v>
      </c>
      <c r="J218" s="253"/>
      <c r="K218" s="248" t="s">
        <v>17</v>
      </c>
      <c r="L218" s="188" t="s">
        <v>18</v>
      </c>
      <c r="M218" s="249" t="s">
        <v>19</v>
      </c>
      <c r="N218" s="188" t="s">
        <v>18</v>
      </c>
      <c r="O218" s="213" t="s">
        <v>19</v>
      </c>
    </row>
    <row r="219" spans="2:15" ht="15" thickBot="1" x14ac:dyDescent="0.4">
      <c r="B219" s="260"/>
      <c r="C219" s="236" t="s">
        <v>20</v>
      </c>
      <c r="D219" s="236" t="s">
        <v>99</v>
      </c>
      <c r="E219" s="237">
        <v>1</v>
      </c>
      <c r="F219" s="238" t="s">
        <v>25</v>
      </c>
      <c r="G219" s="239"/>
      <c r="H219" s="174"/>
      <c r="I219" s="175"/>
      <c r="J219" s="240"/>
      <c r="L219" s="239"/>
      <c r="M219" s="241"/>
      <c r="N219" s="242"/>
      <c r="O219" s="101"/>
    </row>
    <row r="220" spans="2:15" ht="15" thickBot="1" x14ac:dyDescent="0.4">
      <c r="B220" s="260"/>
      <c r="C220" s="178" t="s">
        <v>22</v>
      </c>
      <c r="D220" s="178" t="s">
        <v>97</v>
      </c>
      <c r="E220" s="19">
        <v>0.33</v>
      </c>
      <c r="F220" s="184" t="s">
        <v>34</v>
      </c>
      <c r="G220" s="179"/>
      <c r="H220" s="178"/>
      <c r="I220" s="184"/>
      <c r="J220" s="185"/>
      <c r="L220" s="179"/>
      <c r="M220" s="186"/>
      <c r="N220" s="187"/>
      <c r="O220" s="122"/>
    </row>
    <row r="221" spans="2:15" ht="15" thickBot="1" x14ac:dyDescent="0.4">
      <c r="B221" s="260"/>
      <c r="C221" s="178" t="s">
        <v>22</v>
      </c>
      <c r="D221" s="178" t="s">
        <v>98</v>
      </c>
      <c r="E221" s="19">
        <v>0.03</v>
      </c>
      <c r="F221" s="184" t="s">
        <v>34</v>
      </c>
      <c r="G221" s="179"/>
      <c r="H221" s="178"/>
      <c r="I221" s="184"/>
      <c r="J221" s="185"/>
      <c r="L221" s="179"/>
      <c r="M221" s="186"/>
      <c r="N221" s="187"/>
      <c r="O221" s="122"/>
    </row>
    <row r="222" spans="2:15" ht="15" thickBot="1" x14ac:dyDescent="0.4">
      <c r="B222" s="261"/>
      <c r="C222" s="56" t="s">
        <v>22</v>
      </c>
      <c r="D222" s="188" t="s">
        <v>33</v>
      </c>
      <c r="E222" s="123">
        <v>1</v>
      </c>
      <c r="F222" s="189" t="s">
        <v>25</v>
      </c>
      <c r="G222" s="179"/>
      <c r="H222" s="178"/>
      <c r="I222" s="184"/>
      <c r="J222" s="185"/>
      <c r="L222" s="179"/>
      <c r="M222" s="186"/>
      <c r="N222" s="187"/>
      <c r="O222" s="122"/>
    </row>
    <row r="223" spans="2:15" ht="15" thickBot="1" x14ac:dyDescent="0.4">
      <c r="B223" s="190" t="s">
        <v>96</v>
      </c>
      <c r="C223" s="191" t="s">
        <v>24</v>
      </c>
      <c r="D223" s="182" t="s">
        <v>99</v>
      </c>
      <c r="E223" s="192">
        <v>1</v>
      </c>
      <c r="F223" s="193" t="s">
        <v>25</v>
      </c>
      <c r="G223" s="194">
        <f>E219/E223</f>
        <v>1</v>
      </c>
      <c r="H223" s="178"/>
      <c r="I223" s="184"/>
      <c r="J223" s="185"/>
      <c r="K223" s="163">
        <f>E233*K233*I233+E236*K236*I236+E234*I234*K234</f>
        <v>9.7643999999999995E-2</v>
      </c>
      <c r="L223" s="179"/>
      <c r="M223" s="186"/>
      <c r="N223" s="195">
        <f>E223*G223*K223</f>
        <v>9.7643999999999995E-2</v>
      </c>
      <c r="O223" s="146">
        <f>(N223/N237)</f>
        <v>0.79114575315383928</v>
      </c>
    </row>
    <row r="224" spans="2:15" ht="15" thickBot="1" x14ac:dyDescent="0.4">
      <c r="B224" s="197"/>
      <c r="C224" t="s">
        <v>22</v>
      </c>
      <c r="D224" t="s">
        <v>93</v>
      </c>
      <c r="E224" s="198">
        <f>T164</f>
        <v>0.06</v>
      </c>
      <c r="F224" s="53" t="s">
        <v>101</v>
      </c>
      <c r="G224" s="199"/>
      <c r="H224" s="178"/>
      <c r="I224" s="184"/>
      <c r="J224" s="185"/>
      <c r="K224" s="198"/>
      <c r="L224" s="179"/>
      <c r="M224" s="186"/>
      <c r="N224" s="200"/>
      <c r="O224" s="146"/>
    </row>
    <row r="225" spans="2:16" ht="15" thickBot="1" x14ac:dyDescent="0.4">
      <c r="B225" s="197"/>
      <c r="C225" t="s">
        <v>22</v>
      </c>
      <c r="D225" t="s">
        <v>160</v>
      </c>
      <c r="E225" s="217">
        <f>T163/T156*C186</f>
        <v>5.1999999999999998E-3</v>
      </c>
      <c r="F225" s="53" t="s">
        <v>26</v>
      </c>
      <c r="G225" s="199"/>
      <c r="H225" s="178"/>
      <c r="I225" s="184"/>
      <c r="J225" s="185"/>
      <c r="K225" s="198"/>
      <c r="L225" s="179"/>
      <c r="M225" s="186"/>
      <c r="N225" s="200"/>
      <c r="O225" s="146"/>
    </row>
    <row r="226" spans="2:16" ht="15" thickBot="1" x14ac:dyDescent="0.4">
      <c r="B226" s="201"/>
      <c r="C226" s="56" t="s">
        <v>22</v>
      </c>
      <c r="D226" s="56" t="s">
        <v>182</v>
      </c>
      <c r="E226" s="218">
        <f>T163/T156*C185</f>
        <v>7.7999999999999996E-3</v>
      </c>
      <c r="F226" s="57" t="s">
        <v>34</v>
      </c>
      <c r="G226" s="199"/>
      <c r="H226" s="178"/>
      <c r="I226" s="184"/>
      <c r="J226" s="185"/>
      <c r="K226" s="198"/>
      <c r="L226" s="179"/>
      <c r="M226" s="186"/>
      <c r="N226" s="200"/>
      <c r="O226" s="146"/>
    </row>
    <row r="227" spans="2:16" ht="15" thickBot="1" x14ac:dyDescent="0.4">
      <c r="B227" s="28" t="s">
        <v>127</v>
      </c>
      <c r="C227" s="29" t="s">
        <v>24</v>
      </c>
      <c r="D227" s="30" t="s">
        <v>177</v>
      </c>
      <c r="E227" s="203">
        <v>1</v>
      </c>
      <c r="F227" s="117" t="s">
        <v>25</v>
      </c>
      <c r="G227" s="132">
        <f>E219/E227</f>
        <v>1</v>
      </c>
      <c r="H227" s="3"/>
      <c r="I227" s="104"/>
      <c r="J227" s="139"/>
      <c r="K227" s="163">
        <f>E235*I235*K235+E232*I232*K232</f>
        <v>3.6399999999999996E-4</v>
      </c>
      <c r="L227" s="130"/>
      <c r="M227" s="122"/>
      <c r="N227" s="107">
        <f>E227*G227*K227</f>
        <v>3.6399999999999996E-4</v>
      </c>
      <c r="O227" s="146">
        <f>(N227/N237)</f>
        <v>2.9492549890213168E-3</v>
      </c>
    </row>
    <row r="228" spans="2:16" ht="15" thickBot="1" x14ac:dyDescent="0.4">
      <c r="B228" s="33"/>
      <c r="C228" s="26" t="s">
        <v>22</v>
      </c>
      <c r="D228" s="26" t="s">
        <v>181</v>
      </c>
      <c r="E228" s="217">
        <f>T163/T156*E186</f>
        <v>2.5999999999999994E-3</v>
      </c>
      <c r="F228" s="53" t="s">
        <v>25</v>
      </c>
      <c r="G228" s="133"/>
      <c r="H228" s="3"/>
      <c r="I228" s="104"/>
      <c r="J228" s="139"/>
      <c r="K228" s="40"/>
      <c r="L228" s="130"/>
      <c r="M228" s="122"/>
      <c r="N228" s="143"/>
      <c r="O228" s="146"/>
    </row>
    <row r="229" spans="2:16" ht="15" thickBot="1" x14ac:dyDescent="0.4">
      <c r="B229" s="33"/>
      <c r="C229" s="26" t="s">
        <v>22</v>
      </c>
      <c r="D229" s="26" t="s">
        <v>180</v>
      </c>
      <c r="E229" s="217">
        <v>0</v>
      </c>
      <c r="F229" s="53" t="s">
        <v>25</v>
      </c>
      <c r="G229" s="133"/>
      <c r="H229" s="3"/>
      <c r="I229" s="104"/>
      <c r="J229" s="139"/>
      <c r="K229" s="40"/>
      <c r="L229" s="130"/>
      <c r="M229" s="122"/>
      <c r="N229" s="143"/>
      <c r="O229" s="146"/>
    </row>
    <row r="230" spans="2:16" ht="15" thickBot="1" x14ac:dyDescent="0.4">
      <c r="B230" s="124" t="s">
        <v>97</v>
      </c>
      <c r="C230" s="29" t="s">
        <v>24</v>
      </c>
      <c r="D230" s="30" t="s">
        <v>97</v>
      </c>
      <c r="E230" s="203">
        <v>1</v>
      </c>
      <c r="F230" s="117" t="s">
        <v>26</v>
      </c>
      <c r="G230" s="132">
        <f>E220/E230</f>
        <v>0.33</v>
      </c>
      <c r="H230" s="3"/>
      <c r="I230" s="104"/>
      <c r="J230" s="139"/>
      <c r="K230" s="19">
        <v>1.1000000000000001E-3</v>
      </c>
      <c r="L230" s="130"/>
      <c r="M230" s="122"/>
      <c r="N230" s="107">
        <f>E230*G230*K230</f>
        <v>3.6300000000000004E-4</v>
      </c>
      <c r="O230" s="146">
        <f>(N230/N237)</f>
        <v>2.94115264015038E-3</v>
      </c>
      <c r="P230" s="19">
        <f>N230</f>
        <v>3.6300000000000004E-4</v>
      </c>
    </row>
    <row r="231" spans="2:16" ht="15" thickBot="1" x14ac:dyDescent="0.4">
      <c r="B231" s="45" t="s">
        <v>100</v>
      </c>
      <c r="C231" s="25" t="s">
        <v>24</v>
      </c>
      <c r="D231" s="26" t="s">
        <v>100</v>
      </c>
      <c r="E231" s="204">
        <v>1</v>
      </c>
      <c r="F231" s="53" t="s">
        <v>26</v>
      </c>
      <c r="G231" s="132">
        <f>E221/E231</f>
        <v>0.03</v>
      </c>
      <c r="H231" s="3"/>
      <c r="I231" s="104"/>
      <c r="J231" s="139"/>
      <c r="K231" s="163">
        <v>0.83499999999999996</v>
      </c>
      <c r="L231" s="130"/>
      <c r="M231" s="122"/>
      <c r="N231" s="107">
        <f t="shared" ref="N231" si="4">E231*G231*K231</f>
        <v>2.5049999999999999E-2</v>
      </c>
      <c r="O231" s="146">
        <f>(N231/N237)</f>
        <v>0.20296383921698899</v>
      </c>
      <c r="P231" s="19">
        <f>N231</f>
        <v>2.5049999999999999E-2</v>
      </c>
    </row>
    <row r="232" spans="2:16" ht="15" thickBot="1" x14ac:dyDescent="0.4">
      <c r="B232" s="45" t="s">
        <v>179</v>
      </c>
      <c r="C232" s="26" t="s">
        <v>27</v>
      </c>
      <c r="D232" s="26" t="s">
        <v>181</v>
      </c>
      <c r="E232" s="204">
        <v>1</v>
      </c>
      <c r="F232" s="53" t="s">
        <v>26</v>
      </c>
      <c r="G232" s="132"/>
      <c r="H232" s="221">
        <f>E228/E232</f>
        <v>2.5999999999999994E-3</v>
      </c>
      <c r="I232" s="220">
        <f>H232*G223</f>
        <v>2.5999999999999994E-3</v>
      </c>
      <c r="J232" s="140">
        <f>E232*I232</f>
        <v>2.5999999999999994E-3</v>
      </c>
      <c r="K232" s="19">
        <v>0.14000000000000001</v>
      </c>
      <c r="L232" s="145">
        <f>J232*K232</f>
        <v>3.6399999999999996E-4</v>
      </c>
      <c r="M232" s="196">
        <f>(L232/L237)</f>
        <v>3.7139825320382006E-3</v>
      </c>
      <c r="N232" s="107"/>
      <c r="O232" s="146"/>
      <c r="P232" s="19">
        <f>L232</f>
        <v>3.6399999999999996E-4</v>
      </c>
    </row>
    <row r="233" spans="2:16" ht="15" thickBot="1" x14ac:dyDescent="0.4">
      <c r="B233" s="45" t="s">
        <v>185</v>
      </c>
      <c r="C233" s="25" t="s">
        <v>24</v>
      </c>
      <c r="D233" s="26" t="s">
        <v>29</v>
      </c>
      <c r="E233" s="204">
        <v>1</v>
      </c>
      <c r="F233" s="205" t="s">
        <v>31</v>
      </c>
      <c r="G233" s="137"/>
      <c r="H233" s="164">
        <f>E224/E233</f>
        <v>0.06</v>
      </c>
      <c r="I233" s="163">
        <f>H233*G223</f>
        <v>0.06</v>
      </c>
      <c r="J233" s="140">
        <f>E233*I233</f>
        <v>0.06</v>
      </c>
      <c r="K233" s="19">
        <v>0.33</v>
      </c>
      <c r="L233" s="145">
        <f>J233*K233</f>
        <v>1.9800000000000002E-2</v>
      </c>
      <c r="M233" s="196">
        <f>(L233/L237)</f>
        <v>0.20202432454493513</v>
      </c>
      <c r="N233" s="94"/>
      <c r="O233" s="122"/>
      <c r="P233" s="19">
        <f t="shared" ref="P233:P236" si="5">L233</f>
        <v>1.9800000000000002E-2</v>
      </c>
    </row>
    <row r="234" spans="2:16" ht="15" thickBot="1" x14ac:dyDescent="0.4">
      <c r="B234" s="45" t="s">
        <v>161</v>
      </c>
      <c r="C234" s="25" t="s">
        <v>24</v>
      </c>
      <c r="D234" s="26" t="s">
        <v>160</v>
      </c>
      <c r="E234" s="204">
        <v>1</v>
      </c>
      <c r="F234" s="205" t="s">
        <v>26</v>
      </c>
      <c r="G234" s="171"/>
      <c r="H234" s="164">
        <f>E225/E234</f>
        <v>5.1999999999999998E-3</v>
      </c>
      <c r="I234" s="163">
        <f>H234*G223</f>
        <v>5.1999999999999998E-3</v>
      </c>
      <c r="J234" s="140">
        <f>E234*I234</f>
        <v>5.1999999999999998E-3</v>
      </c>
      <c r="K234" s="19">
        <v>0.63</v>
      </c>
      <c r="L234" s="145">
        <f>J234*K234</f>
        <v>3.2759999999999998E-3</v>
      </c>
      <c r="M234" s="196">
        <f>(L234/L237)</f>
        <v>3.3425842788343811E-2</v>
      </c>
      <c r="N234" s="95"/>
      <c r="O234" s="162"/>
      <c r="P234" s="19">
        <f t="shared" si="5"/>
        <v>3.2759999999999998E-3</v>
      </c>
    </row>
    <row r="235" spans="2:16" ht="15" thickBot="1" x14ac:dyDescent="0.4">
      <c r="B235" s="45" t="s">
        <v>161</v>
      </c>
      <c r="C235" s="25" t="s">
        <v>24</v>
      </c>
      <c r="D235" s="26" t="s">
        <v>190</v>
      </c>
      <c r="E235" s="204">
        <v>1</v>
      </c>
      <c r="F235" s="205" t="s">
        <v>26</v>
      </c>
      <c r="G235" s="171"/>
      <c r="H235" s="164">
        <f>E229/E235</f>
        <v>0</v>
      </c>
      <c r="I235" s="163">
        <f>H235*G223</f>
        <v>0</v>
      </c>
      <c r="J235" s="140">
        <f>E235*I235</f>
        <v>0</v>
      </c>
      <c r="K235" s="19">
        <v>0.63</v>
      </c>
      <c r="L235" s="145">
        <f>J235*K235</f>
        <v>0</v>
      </c>
      <c r="M235" s="196">
        <f>(L235/L237)</f>
        <v>0</v>
      </c>
      <c r="N235" s="95"/>
      <c r="O235" s="162"/>
      <c r="P235" s="19">
        <f t="shared" si="5"/>
        <v>0</v>
      </c>
    </row>
    <row r="236" spans="2:16" ht="15" thickBot="1" x14ac:dyDescent="0.4">
      <c r="B236" s="46" t="s">
        <v>186</v>
      </c>
      <c r="C236" s="37" t="s">
        <v>24</v>
      </c>
      <c r="D236" s="37" t="s">
        <v>182</v>
      </c>
      <c r="E236" s="202">
        <v>1</v>
      </c>
      <c r="F236" s="57" t="s">
        <v>26</v>
      </c>
      <c r="G236" s="165"/>
      <c r="H236" s="166">
        <f>E226/E236</f>
        <v>7.7999999999999996E-3</v>
      </c>
      <c r="I236" s="167">
        <f>H236*G223</f>
        <v>7.7999999999999996E-3</v>
      </c>
      <c r="J236" s="168">
        <f>E236*I236</f>
        <v>7.7999999999999996E-3</v>
      </c>
      <c r="K236" s="123">
        <v>9.56</v>
      </c>
      <c r="L236" s="169">
        <f>J236*K236</f>
        <v>7.4567999999999995E-2</v>
      </c>
      <c r="M236" s="211">
        <f>(L236/L237)</f>
        <v>0.7608358501346828</v>
      </c>
      <c r="N236" s="96"/>
      <c r="O236" s="170"/>
      <c r="P236" s="19">
        <f t="shared" si="5"/>
        <v>7.4567999999999995E-2</v>
      </c>
    </row>
    <row r="237" spans="2:16" ht="15" thickBot="1" x14ac:dyDescent="0.4">
      <c r="B237" s="214" t="s">
        <v>28</v>
      </c>
      <c r="C237" s="215"/>
      <c r="D237" s="215"/>
      <c r="E237" s="215"/>
      <c r="F237" s="216"/>
      <c r="G237" s="134"/>
      <c r="H237" s="135"/>
      <c r="I237" s="138"/>
      <c r="J237" s="141"/>
      <c r="K237" s="142"/>
      <c r="L237" s="147">
        <f>SUM(L232:L236)</f>
        <v>9.8007999999999998E-2</v>
      </c>
      <c r="M237" s="148">
        <f>SUM(M232:M236)</f>
        <v>1</v>
      </c>
      <c r="N237" s="144">
        <f>SUM(N223:N236)</f>
        <v>0.123421</v>
      </c>
      <c r="O237" s="77">
        <f>SUM(O223:O231)</f>
        <v>1</v>
      </c>
      <c r="P237" s="222">
        <f>SUM(P230:P236)</f>
        <v>0.123421</v>
      </c>
    </row>
    <row r="241" spans="2:2" x14ac:dyDescent="0.35">
      <c r="B241" s="120" t="s">
        <v>183</v>
      </c>
    </row>
    <row r="268" spans="2:15" ht="15" thickBot="1" x14ac:dyDescent="0.4"/>
    <row r="269" spans="2:15" ht="15" thickBot="1" x14ac:dyDescent="0.4">
      <c r="B269" s="66" t="s">
        <v>1</v>
      </c>
      <c r="C269" s="172"/>
      <c r="D269" s="172"/>
      <c r="E269" s="172"/>
      <c r="F269" s="172"/>
      <c r="G269" s="172"/>
      <c r="H269" s="172"/>
      <c r="I269" s="172"/>
      <c r="J269" s="172"/>
      <c r="K269" s="68" t="s">
        <v>2</v>
      </c>
      <c r="L269" s="172"/>
      <c r="M269" s="172"/>
      <c r="N269" s="172"/>
      <c r="O269" s="173"/>
    </row>
    <row r="270" spans="2:15" ht="15" customHeight="1" thickBot="1" x14ac:dyDescent="0.4">
      <c r="B270" s="243" t="s">
        <v>3</v>
      </c>
      <c r="C270" s="182"/>
      <c r="D270" s="182"/>
      <c r="E270" s="182"/>
      <c r="F270" s="183" t="s">
        <v>4</v>
      </c>
      <c r="G270" s="176"/>
      <c r="H270" s="129" t="s">
        <v>5</v>
      </c>
      <c r="I270" s="177"/>
      <c r="J270" s="262" t="s">
        <v>6</v>
      </c>
      <c r="K270" s="244"/>
      <c r="L270" s="254" t="s">
        <v>51</v>
      </c>
      <c r="M270" s="255"/>
      <c r="N270" s="255"/>
      <c r="O270" s="256"/>
    </row>
    <row r="271" spans="2:15" ht="15" customHeight="1" thickBot="1" x14ac:dyDescent="0.4">
      <c r="B271" s="179"/>
      <c r="C271" s="178" t="s">
        <v>7</v>
      </c>
      <c r="D271" s="178" t="s">
        <v>8</v>
      </c>
      <c r="E271" s="178" t="s">
        <v>9</v>
      </c>
      <c r="F271" s="126" t="s">
        <v>10</v>
      </c>
      <c r="G271" s="179"/>
      <c r="H271" s="178"/>
      <c r="I271" s="180" t="s">
        <v>11</v>
      </c>
      <c r="J271" s="263"/>
      <c r="K271" s="181" t="s">
        <v>12</v>
      </c>
      <c r="L271" s="257" t="s">
        <v>53</v>
      </c>
      <c r="M271" s="258"/>
      <c r="N271" s="257" t="s">
        <v>52</v>
      </c>
      <c r="O271" s="259"/>
    </row>
    <row r="272" spans="2:15" ht="15" thickBot="1" x14ac:dyDescent="0.4">
      <c r="B272" s="231" t="s">
        <v>13</v>
      </c>
      <c r="C272" s="245"/>
      <c r="D272" s="245"/>
      <c r="E272" s="245"/>
      <c r="F272" s="246"/>
      <c r="G272" s="247" t="s">
        <v>14</v>
      </c>
      <c r="H272" s="188" t="s">
        <v>15</v>
      </c>
      <c r="I272" s="213" t="s">
        <v>16</v>
      </c>
      <c r="J272" s="264"/>
      <c r="K272" s="248" t="s">
        <v>17</v>
      </c>
      <c r="L272" s="188" t="s">
        <v>18</v>
      </c>
      <c r="M272" s="249" t="s">
        <v>19</v>
      </c>
      <c r="N272" s="188" t="s">
        <v>18</v>
      </c>
      <c r="O272" s="213" t="s">
        <v>19</v>
      </c>
    </row>
    <row r="273" spans="2:16" ht="15" thickBot="1" x14ac:dyDescent="0.4">
      <c r="B273" s="260"/>
      <c r="C273" s="236" t="s">
        <v>20</v>
      </c>
      <c r="D273" s="236" t="s">
        <v>99</v>
      </c>
      <c r="E273" s="250">
        <v>1</v>
      </c>
      <c r="F273" s="175" t="s">
        <v>25</v>
      </c>
      <c r="G273" s="239"/>
      <c r="H273" s="174"/>
      <c r="I273" s="175"/>
      <c r="J273" s="240"/>
      <c r="L273" s="239"/>
      <c r="M273" s="241"/>
      <c r="N273" s="242"/>
      <c r="O273" s="101"/>
    </row>
    <row r="274" spans="2:16" ht="15" thickBot="1" x14ac:dyDescent="0.4">
      <c r="B274" s="260"/>
      <c r="C274" s="178" t="s">
        <v>22</v>
      </c>
      <c r="D274" s="178" t="s">
        <v>97</v>
      </c>
      <c r="E274" s="19">
        <v>0.33</v>
      </c>
      <c r="F274" s="184" t="s">
        <v>34</v>
      </c>
      <c r="G274" s="179"/>
      <c r="H274" s="178"/>
      <c r="I274" s="184"/>
      <c r="J274" s="185"/>
      <c r="L274" s="179"/>
      <c r="M274" s="186"/>
      <c r="N274" s="187"/>
      <c r="O274" s="122"/>
    </row>
    <row r="275" spans="2:16" ht="15" thickBot="1" x14ac:dyDescent="0.4">
      <c r="B275" s="260"/>
      <c r="C275" s="178" t="s">
        <v>22</v>
      </c>
      <c r="D275" s="178" t="s">
        <v>98</v>
      </c>
      <c r="E275" s="19">
        <v>0.03</v>
      </c>
      <c r="F275" s="184" t="s">
        <v>34</v>
      </c>
      <c r="G275" s="179"/>
      <c r="H275" s="178"/>
      <c r="I275" s="184"/>
      <c r="J275" s="185"/>
      <c r="L275" s="179"/>
      <c r="M275" s="186"/>
      <c r="N275" s="187"/>
      <c r="O275" s="122"/>
    </row>
    <row r="276" spans="2:16" ht="15" thickBot="1" x14ac:dyDescent="0.4">
      <c r="B276" s="261"/>
      <c r="C276" s="56" t="s">
        <v>22</v>
      </c>
      <c r="D276" s="188" t="s">
        <v>33</v>
      </c>
      <c r="E276" s="123">
        <v>1</v>
      </c>
      <c r="F276" s="189" t="s">
        <v>25</v>
      </c>
      <c r="G276" s="179"/>
      <c r="H276" s="178"/>
      <c r="I276" s="184"/>
      <c r="J276" s="185"/>
      <c r="L276" s="179"/>
      <c r="M276" s="186"/>
      <c r="N276" s="187"/>
      <c r="O276" s="122"/>
    </row>
    <row r="277" spans="2:16" ht="15" thickBot="1" x14ac:dyDescent="0.4">
      <c r="B277" s="190" t="s">
        <v>96</v>
      </c>
      <c r="C277" s="191" t="s">
        <v>24</v>
      </c>
      <c r="D277" s="182" t="s">
        <v>99</v>
      </c>
      <c r="E277" s="192">
        <v>1</v>
      </c>
      <c r="F277" s="193" t="s">
        <v>25</v>
      </c>
      <c r="G277" s="194">
        <f>E273/E277</f>
        <v>1</v>
      </c>
      <c r="H277" s="178"/>
      <c r="I277" s="184"/>
      <c r="J277" s="185"/>
      <c r="K277" s="163">
        <f>E287*K287*I287+E290*K290*I290+E288*I288*K288</f>
        <v>0.14408000000000001</v>
      </c>
      <c r="L277" s="179"/>
      <c r="M277" s="186"/>
      <c r="N277" s="195">
        <f>E277*G277*K277</f>
        <v>0.14408000000000001</v>
      </c>
      <c r="O277" s="146">
        <f>(N277/N291)</f>
        <v>0.84824293376192916</v>
      </c>
    </row>
    <row r="278" spans="2:16" ht="15" thickBot="1" x14ac:dyDescent="0.4">
      <c r="B278" s="197"/>
      <c r="C278" t="s">
        <v>22</v>
      </c>
      <c r="D278" t="s">
        <v>93</v>
      </c>
      <c r="E278" s="198">
        <f>T164</f>
        <v>0.06</v>
      </c>
      <c r="F278" s="53" t="s">
        <v>101</v>
      </c>
      <c r="G278" s="199"/>
      <c r="H278" s="178"/>
      <c r="I278" s="184"/>
      <c r="J278" s="185"/>
      <c r="K278" s="198"/>
      <c r="L278" s="179"/>
      <c r="M278" s="186"/>
      <c r="N278" s="200"/>
      <c r="O278" s="146"/>
    </row>
    <row r="279" spans="2:16" ht="15" thickBot="1" x14ac:dyDescent="0.4">
      <c r="B279" s="197"/>
      <c r="C279" t="s">
        <v>22</v>
      </c>
      <c r="D279" t="s">
        <v>160</v>
      </c>
      <c r="E279" s="217">
        <v>0</v>
      </c>
      <c r="F279" s="53" t="s">
        <v>26</v>
      </c>
      <c r="G279" s="199"/>
      <c r="H279" s="178"/>
      <c r="I279" s="184"/>
      <c r="J279" s="185"/>
      <c r="K279" s="198"/>
      <c r="L279" s="179"/>
      <c r="M279" s="186"/>
      <c r="N279" s="200"/>
      <c r="O279" s="146"/>
    </row>
    <row r="280" spans="2:16" ht="15" thickBot="1" x14ac:dyDescent="0.4">
      <c r="B280" s="201"/>
      <c r="C280" s="56" t="s">
        <v>22</v>
      </c>
      <c r="D280" s="56" t="s">
        <v>182</v>
      </c>
      <c r="E280" s="218">
        <f>T163/T156</f>
        <v>1.2999999999999999E-2</v>
      </c>
      <c r="F280" s="57" t="s">
        <v>34</v>
      </c>
      <c r="G280" s="199"/>
      <c r="H280" s="178"/>
      <c r="I280" s="184"/>
      <c r="J280" s="185"/>
      <c r="K280" s="198"/>
      <c r="L280" s="179"/>
      <c r="M280" s="186"/>
      <c r="N280" s="200"/>
      <c r="O280" s="146"/>
    </row>
    <row r="281" spans="2:16" ht="15" thickBot="1" x14ac:dyDescent="0.4">
      <c r="B281" s="28" t="s">
        <v>127</v>
      </c>
      <c r="C281" s="29" t="s">
        <v>24</v>
      </c>
      <c r="D281" s="30" t="s">
        <v>177</v>
      </c>
      <c r="E281" s="203">
        <v>1</v>
      </c>
      <c r="F281" s="117" t="s">
        <v>25</v>
      </c>
      <c r="G281" s="132">
        <f>E273/E281</f>
        <v>1</v>
      </c>
      <c r="H281" s="3"/>
      <c r="I281" s="104"/>
      <c r="J281" s="139"/>
      <c r="K281" s="163">
        <f>E288*I288*K288+E286*I286*K286</f>
        <v>3.6399999999999996E-4</v>
      </c>
      <c r="L281" s="130"/>
      <c r="M281" s="122"/>
      <c r="N281" s="107">
        <f>E281*G281*K281</f>
        <v>3.6399999999999996E-4</v>
      </c>
      <c r="O281" s="146">
        <f>(N281/N291)</f>
        <v>2.142979094179221E-3</v>
      </c>
    </row>
    <row r="282" spans="2:16" ht="15" thickBot="1" x14ac:dyDescent="0.4">
      <c r="B282" s="33"/>
      <c r="C282" s="26" t="s">
        <v>22</v>
      </c>
      <c r="D282" s="26" t="s">
        <v>181</v>
      </c>
      <c r="E282" s="217">
        <f>T163/T156*E186</f>
        <v>2.5999999999999994E-3</v>
      </c>
      <c r="F282" s="53" t="s">
        <v>25</v>
      </c>
      <c r="G282" s="133"/>
      <c r="H282" s="3"/>
      <c r="I282" s="104"/>
      <c r="J282" s="139"/>
      <c r="K282" s="40"/>
      <c r="L282" s="130"/>
      <c r="M282" s="122"/>
      <c r="N282" s="143"/>
      <c r="O282" s="146"/>
    </row>
    <row r="283" spans="2:16" ht="15" thickBot="1" x14ac:dyDescent="0.4">
      <c r="B283" s="33"/>
      <c r="C283" s="26" t="s">
        <v>22</v>
      </c>
      <c r="D283" s="26" t="s">
        <v>180</v>
      </c>
      <c r="E283" s="217">
        <f>T163/T156*E185</f>
        <v>1.04E-2</v>
      </c>
      <c r="F283" s="53" t="s">
        <v>25</v>
      </c>
      <c r="G283" s="133"/>
      <c r="H283" s="3"/>
      <c r="I283" s="104"/>
      <c r="J283" s="139"/>
      <c r="K283" s="40"/>
      <c r="L283" s="130"/>
      <c r="M283" s="122"/>
      <c r="N283" s="143"/>
      <c r="O283" s="146"/>
    </row>
    <row r="284" spans="2:16" ht="15" thickBot="1" x14ac:dyDescent="0.4">
      <c r="B284" s="124" t="s">
        <v>97</v>
      </c>
      <c r="C284" s="29" t="s">
        <v>24</v>
      </c>
      <c r="D284" s="30" t="s">
        <v>97</v>
      </c>
      <c r="E284" s="203">
        <v>1</v>
      </c>
      <c r="F284" s="117" t="s">
        <v>26</v>
      </c>
      <c r="G284" s="132">
        <f>E274/E284</f>
        <v>0.33</v>
      </c>
      <c r="H284" s="3"/>
      <c r="I284" s="104"/>
      <c r="J284" s="139"/>
      <c r="K284" s="19">
        <v>1.1000000000000001E-3</v>
      </c>
      <c r="L284" s="130"/>
      <c r="M284" s="122"/>
      <c r="N284" s="107">
        <f>E284*G284*K284</f>
        <v>3.6300000000000004E-4</v>
      </c>
      <c r="O284" s="146">
        <f>(N284/N291)</f>
        <v>2.1370917889754325E-3</v>
      </c>
      <c r="P284" s="19">
        <f>N284</f>
        <v>3.6300000000000004E-4</v>
      </c>
    </row>
    <row r="285" spans="2:16" ht="15" thickBot="1" x14ac:dyDescent="0.4">
      <c r="B285" s="45" t="s">
        <v>100</v>
      </c>
      <c r="C285" s="25" t="s">
        <v>24</v>
      </c>
      <c r="D285" s="26" t="s">
        <v>100</v>
      </c>
      <c r="E285" s="204">
        <v>1</v>
      </c>
      <c r="F285" s="53" t="s">
        <v>26</v>
      </c>
      <c r="G285" s="132">
        <f>E275/E285</f>
        <v>0.03</v>
      </c>
      <c r="H285" s="3"/>
      <c r="I285" s="104"/>
      <c r="J285" s="139"/>
      <c r="K285" s="163">
        <v>0.83499999999999996</v>
      </c>
      <c r="L285" s="130"/>
      <c r="M285" s="122"/>
      <c r="N285" s="107">
        <f t="shared" ref="N285" si="6">E285*G285*K285</f>
        <v>2.5049999999999999E-2</v>
      </c>
      <c r="O285" s="146">
        <f>(N285/N291)</f>
        <v>0.14747699535491618</v>
      </c>
      <c r="P285" s="19">
        <f>N285</f>
        <v>2.5049999999999999E-2</v>
      </c>
    </row>
    <row r="286" spans="2:16" ht="15" thickBot="1" x14ac:dyDescent="0.4">
      <c r="B286" s="45" t="s">
        <v>179</v>
      </c>
      <c r="C286" s="26" t="s">
        <v>27</v>
      </c>
      <c r="D286" s="26" t="s">
        <v>181</v>
      </c>
      <c r="E286" s="204">
        <v>1</v>
      </c>
      <c r="F286" s="53" t="s">
        <v>26</v>
      </c>
      <c r="G286" s="132"/>
      <c r="H286" s="221">
        <f>E282/E286</f>
        <v>2.5999999999999994E-3</v>
      </c>
      <c r="I286" s="220">
        <f>H286*G277</f>
        <v>2.5999999999999994E-3</v>
      </c>
      <c r="J286" s="140">
        <f>E286*I286</f>
        <v>2.5999999999999994E-3</v>
      </c>
      <c r="K286" s="19">
        <v>0.14000000000000001</v>
      </c>
      <c r="L286" s="145">
        <f>J286*K286</f>
        <v>3.6399999999999996E-4</v>
      </c>
      <c r="M286" s="196">
        <f>(L286/L291)</f>
        <v>2.4106598850300669E-3</v>
      </c>
      <c r="N286" s="107"/>
      <c r="O286" s="146"/>
      <c r="P286" s="19">
        <f>L286</f>
        <v>3.6399999999999996E-4</v>
      </c>
    </row>
    <row r="287" spans="2:16" ht="15" thickBot="1" x14ac:dyDescent="0.4">
      <c r="B287" s="45" t="s">
        <v>185</v>
      </c>
      <c r="C287" s="25" t="s">
        <v>24</v>
      </c>
      <c r="D287" s="26" t="s">
        <v>29</v>
      </c>
      <c r="E287" s="204">
        <v>1</v>
      </c>
      <c r="F287" s="205" t="s">
        <v>31</v>
      </c>
      <c r="G287" s="137"/>
      <c r="H287" s="164">
        <f>E278/E287</f>
        <v>0.06</v>
      </c>
      <c r="I287" s="163">
        <f>H287*G277</f>
        <v>0.06</v>
      </c>
      <c r="J287" s="140">
        <f>E287*I287</f>
        <v>0.06</v>
      </c>
      <c r="K287" s="19">
        <v>0.33</v>
      </c>
      <c r="L287" s="145">
        <f>J287*K287</f>
        <v>1.9800000000000002E-2</v>
      </c>
      <c r="M287" s="196">
        <f>(L287/L291)</f>
        <v>0.13112930143844873</v>
      </c>
      <c r="N287" s="94"/>
      <c r="O287" s="122"/>
      <c r="P287" s="19">
        <f t="shared" ref="P287:P292" si="7">L287</f>
        <v>1.9800000000000002E-2</v>
      </c>
    </row>
    <row r="288" spans="2:16" ht="15" thickBot="1" x14ac:dyDescent="0.4">
      <c r="B288" s="45" t="s">
        <v>161</v>
      </c>
      <c r="C288" s="25" t="s">
        <v>24</v>
      </c>
      <c r="D288" s="26" t="s">
        <v>160</v>
      </c>
      <c r="E288" s="204">
        <v>1</v>
      </c>
      <c r="F288" s="205" t="s">
        <v>26</v>
      </c>
      <c r="G288" s="171"/>
      <c r="H288" s="164">
        <f>E279/E288</f>
        <v>0</v>
      </c>
      <c r="I288" s="163">
        <f>H288*G277</f>
        <v>0</v>
      </c>
      <c r="J288" s="140">
        <f>E288*I288</f>
        <v>0</v>
      </c>
      <c r="K288" s="19">
        <v>0.63</v>
      </c>
      <c r="L288" s="145">
        <f>J288*K288</f>
        <v>0</v>
      </c>
      <c r="M288" s="196">
        <f>(L288/L291)</f>
        <v>0</v>
      </c>
      <c r="N288" s="95"/>
      <c r="O288" s="162"/>
      <c r="P288" s="19">
        <f t="shared" si="7"/>
        <v>0</v>
      </c>
    </row>
    <row r="289" spans="2:16" ht="15" thickBot="1" x14ac:dyDescent="0.4">
      <c r="B289" s="45" t="s">
        <v>161</v>
      </c>
      <c r="C289" s="25" t="s">
        <v>24</v>
      </c>
      <c r="D289" s="26" t="s">
        <v>190</v>
      </c>
      <c r="E289" s="204">
        <v>1</v>
      </c>
      <c r="F289" s="205" t="s">
        <v>26</v>
      </c>
      <c r="G289" s="171"/>
      <c r="H289" s="164">
        <f>E283/E289</f>
        <v>1.04E-2</v>
      </c>
      <c r="I289" s="163">
        <f>H289*G277</f>
        <v>1.04E-2</v>
      </c>
      <c r="J289" s="140">
        <f>E289*I289</f>
        <v>1.04E-2</v>
      </c>
      <c r="K289" s="19">
        <v>0.63</v>
      </c>
      <c r="L289" s="145">
        <f>J289*K289</f>
        <v>6.5519999999999997E-3</v>
      </c>
      <c r="M289" s="196">
        <f>(L289/L291)</f>
        <v>4.3391877930541209E-2</v>
      </c>
      <c r="N289" s="95"/>
      <c r="O289" s="162"/>
      <c r="P289" s="19">
        <f t="shared" si="7"/>
        <v>6.5519999999999997E-3</v>
      </c>
    </row>
    <row r="290" spans="2:16" ht="15" thickBot="1" x14ac:dyDescent="0.4">
      <c r="B290" s="46" t="s">
        <v>186</v>
      </c>
      <c r="C290" s="37" t="s">
        <v>24</v>
      </c>
      <c r="D290" s="37" t="s">
        <v>182</v>
      </c>
      <c r="E290" s="202">
        <v>1</v>
      </c>
      <c r="F290" s="57" t="s">
        <v>26</v>
      </c>
      <c r="G290" s="165"/>
      <c r="H290" s="166">
        <f>E280/E290</f>
        <v>1.2999999999999999E-2</v>
      </c>
      <c r="I290" s="167">
        <f>H290*G277</f>
        <v>1.2999999999999999E-2</v>
      </c>
      <c r="J290" s="168">
        <f>E290*I290</f>
        <v>1.2999999999999999E-2</v>
      </c>
      <c r="K290" s="123">
        <v>9.56</v>
      </c>
      <c r="L290" s="169">
        <f>J290*K290</f>
        <v>0.12428</v>
      </c>
      <c r="M290" s="211">
        <f>(L290/L291)</f>
        <v>0.8230681607459801</v>
      </c>
      <c r="N290" s="96"/>
      <c r="O290" s="170"/>
      <c r="P290" s="19">
        <f t="shared" si="7"/>
        <v>0.12428</v>
      </c>
    </row>
    <row r="291" spans="2:16" ht="15" thickBot="1" x14ac:dyDescent="0.4">
      <c r="B291" s="214" t="s">
        <v>28</v>
      </c>
      <c r="C291" s="215"/>
      <c r="D291" s="215"/>
      <c r="E291" s="215"/>
      <c r="F291" s="216"/>
      <c r="G291" s="134"/>
      <c r="H291" s="135"/>
      <c r="I291" s="138"/>
      <c r="J291" s="141"/>
      <c r="K291" s="142"/>
      <c r="L291" s="147">
        <f>SUM(L286:L290)</f>
        <v>0.15099599999999999</v>
      </c>
      <c r="M291" s="148">
        <f>SUM(M286:M290)</f>
        <v>1</v>
      </c>
      <c r="N291" s="144">
        <f>SUM(N277:N290)</f>
        <v>0.16985700000000001</v>
      </c>
      <c r="O291" s="77">
        <f>SUM(O277:O285)</f>
        <v>1</v>
      </c>
      <c r="P291" s="222">
        <f>SUM(P284:P290)</f>
        <v>0.17640900000000001</v>
      </c>
    </row>
    <row r="292" spans="2:16" ht="15" thickBot="1" x14ac:dyDescent="0.4">
      <c r="B292" s="206" t="s">
        <v>184</v>
      </c>
      <c r="C292" s="56" t="s">
        <v>24</v>
      </c>
      <c r="D292" s="56" t="s">
        <v>184</v>
      </c>
      <c r="E292" s="202">
        <v>1</v>
      </c>
      <c r="F292" s="57" t="s">
        <v>26</v>
      </c>
      <c r="G292" s="207"/>
      <c r="H292" s="219">
        <f>-E283/E292</f>
        <v>-1.04E-2</v>
      </c>
      <c r="I292" s="208">
        <f>H292*G281</f>
        <v>-1.04E-2</v>
      </c>
      <c r="J292" s="209">
        <f>E292*I292</f>
        <v>-1.04E-2</v>
      </c>
      <c r="K292" s="123">
        <v>9.56</v>
      </c>
      <c r="L292" s="210">
        <f>J292*K292</f>
        <v>-9.9423999999999998E-2</v>
      </c>
      <c r="M292" s="211">
        <f>(L292/$L$291)</f>
        <v>-0.65845452859678399</v>
      </c>
      <c r="N292" s="212"/>
      <c r="O292" s="213"/>
      <c r="P292" s="19">
        <f t="shared" si="7"/>
        <v>-9.9423999999999998E-2</v>
      </c>
    </row>
    <row r="294" spans="2:16" x14ac:dyDescent="0.35">
      <c r="B294" t="s">
        <v>188</v>
      </c>
      <c r="N294" s="222">
        <f>N291+L292</f>
        <v>7.0433000000000009E-2</v>
      </c>
    </row>
    <row r="299" spans="2:16" x14ac:dyDescent="0.35">
      <c r="B299" s="120" t="s">
        <v>187</v>
      </c>
    </row>
    <row r="301" spans="2:16" x14ac:dyDescent="0.35">
      <c r="B301" t="s">
        <v>191</v>
      </c>
    </row>
    <row r="302" spans="2:16" x14ac:dyDescent="0.35">
      <c r="B302" t="s">
        <v>192</v>
      </c>
    </row>
    <row r="303" spans="2:16" x14ac:dyDescent="0.35">
      <c r="B303" t="s">
        <v>193</v>
      </c>
    </row>
    <row r="305" spans="2:5" ht="15" thickBot="1" x14ac:dyDescent="0.4">
      <c r="C305" s="222" t="s">
        <v>194</v>
      </c>
      <c r="D305" s="60" t="s">
        <v>198</v>
      </c>
      <c r="E305" s="60" t="s">
        <v>195</v>
      </c>
    </row>
    <row r="306" spans="2:5" x14ac:dyDescent="0.35">
      <c r="B306" s="124" t="s">
        <v>97</v>
      </c>
      <c r="C306" s="19">
        <f>P284</f>
        <v>3.6300000000000004E-4</v>
      </c>
      <c r="D306" s="19">
        <f>P230</f>
        <v>3.6300000000000004E-4</v>
      </c>
      <c r="E306" s="19">
        <f>P165</f>
        <v>3.6300000000000004E-4</v>
      </c>
    </row>
    <row r="307" spans="2:5" x14ac:dyDescent="0.35">
      <c r="B307" s="45" t="s">
        <v>100</v>
      </c>
      <c r="C307" s="19">
        <f t="shared" ref="C307:C314" si="8">P285</f>
        <v>2.5049999999999999E-2</v>
      </c>
      <c r="D307" s="19">
        <f t="shared" ref="D307:D313" si="9">P231</f>
        <v>2.5049999999999999E-2</v>
      </c>
      <c r="E307" s="19">
        <f t="shared" ref="E307:E313" si="10">P166</f>
        <v>2.5049999999999999E-2</v>
      </c>
    </row>
    <row r="308" spans="2:5" x14ac:dyDescent="0.35">
      <c r="B308" s="45" t="s">
        <v>179</v>
      </c>
      <c r="C308" s="19">
        <f t="shared" si="8"/>
        <v>3.6399999999999996E-4</v>
      </c>
      <c r="D308" s="19">
        <f t="shared" si="9"/>
        <v>3.6399999999999996E-4</v>
      </c>
      <c r="E308" s="19">
        <f t="shared" si="10"/>
        <v>1.82E-3</v>
      </c>
    </row>
    <row r="309" spans="2:5" x14ac:dyDescent="0.35">
      <c r="B309" s="45" t="s">
        <v>185</v>
      </c>
      <c r="C309" s="19">
        <f t="shared" si="8"/>
        <v>1.9800000000000002E-2</v>
      </c>
      <c r="D309" s="19">
        <f t="shared" si="9"/>
        <v>1.9800000000000002E-2</v>
      </c>
      <c r="E309" s="19">
        <f t="shared" si="10"/>
        <v>1.9800000000000002E-2</v>
      </c>
    </row>
    <row r="310" spans="2:5" x14ac:dyDescent="0.35">
      <c r="B310" s="45" t="s">
        <v>200</v>
      </c>
      <c r="C310" s="19">
        <f t="shared" si="8"/>
        <v>0</v>
      </c>
      <c r="D310" s="19">
        <f t="shared" si="9"/>
        <v>3.2759999999999998E-3</v>
      </c>
      <c r="E310" s="19">
        <f t="shared" si="10"/>
        <v>0</v>
      </c>
    </row>
    <row r="311" spans="2:5" x14ac:dyDescent="0.35">
      <c r="B311" s="45" t="s">
        <v>199</v>
      </c>
      <c r="C311" s="19">
        <f t="shared" si="8"/>
        <v>6.5519999999999997E-3</v>
      </c>
      <c r="D311" s="19">
        <f t="shared" si="9"/>
        <v>0</v>
      </c>
      <c r="E311" s="19">
        <f t="shared" si="10"/>
        <v>0</v>
      </c>
    </row>
    <row r="312" spans="2:5" ht="15" thickBot="1" x14ac:dyDescent="0.4">
      <c r="B312" s="46" t="s">
        <v>186</v>
      </c>
      <c r="C312" s="19">
        <f t="shared" si="8"/>
        <v>0.12428</v>
      </c>
      <c r="D312" s="19">
        <f t="shared" si="9"/>
        <v>7.4567999999999995E-2</v>
      </c>
      <c r="E312" s="19">
        <f t="shared" si="10"/>
        <v>0.12428</v>
      </c>
    </row>
    <row r="313" spans="2:5" ht="15" thickBot="1" x14ac:dyDescent="0.4">
      <c r="B313" s="214" t="s">
        <v>28</v>
      </c>
      <c r="C313" s="19">
        <f t="shared" si="8"/>
        <v>0.17640900000000001</v>
      </c>
      <c r="D313" s="19">
        <f t="shared" si="9"/>
        <v>0.123421</v>
      </c>
      <c r="E313" s="19">
        <f t="shared" si="10"/>
        <v>0.17131299999999999</v>
      </c>
    </row>
    <row r="314" spans="2:5" ht="15" thickBot="1" x14ac:dyDescent="0.4">
      <c r="B314" s="206" t="s">
        <v>184</v>
      </c>
      <c r="C314" s="19">
        <f t="shared" si="8"/>
        <v>-9.9423999999999998E-2</v>
      </c>
    </row>
    <row r="315" spans="2:5" x14ac:dyDescent="0.35">
      <c r="B315" s="60"/>
      <c r="C315" s="60"/>
      <c r="D315" s="60"/>
      <c r="E315" s="60"/>
    </row>
    <row r="316" spans="2:5" x14ac:dyDescent="0.35">
      <c r="B316" s="60" t="s">
        <v>197</v>
      </c>
      <c r="C316" s="222">
        <f>C313+C314</f>
        <v>7.6985000000000012E-2</v>
      </c>
      <c r="D316" s="222">
        <f t="shared" ref="D316:E316" si="11">D313+D314</f>
        <v>0.123421</v>
      </c>
      <c r="E316" s="222">
        <f t="shared" si="11"/>
        <v>0.17131299999999999</v>
      </c>
    </row>
  </sheetData>
  <mergeCells count="20">
    <mergeCell ref="J57:J59"/>
    <mergeCell ref="L57:O57"/>
    <mergeCell ref="L58:M58"/>
    <mergeCell ref="N58:O58"/>
    <mergeCell ref="B60:B65"/>
    <mergeCell ref="J151:J153"/>
    <mergeCell ref="L151:O151"/>
    <mergeCell ref="L152:M152"/>
    <mergeCell ref="N152:O152"/>
    <mergeCell ref="B154:B157"/>
    <mergeCell ref="B273:B276"/>
    <mergeCell ref="J270:J272"/>
    <mergeCell ref="L270:O270"/>
    <mergeCell ref="L271:M271"/>
    <mergeCell ref="N271:O271"/>
    <mergeCell ref="J216:J218"/>
    <mergeCell ref="L216:O216"/>
    <mergeCell ref="L217:M217"/>
    <mergeCell ref="N217:O217"/>
    <mergeCell ref="B219:B222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91EC3650709A4A82A2B9370316570F" ma:contentTypeVersion="11" ma:contentTypeDescription="Crée un document." ma:contentTypeScope="" ma:versionID="bae7b7eff84320a7ac76d9eab4a419d8">
  <xsd:schema xmlns:xsd="http://www.w3.org/2001/XMLSchema" xmlns:xs="http://www.w3.org/2001/XMLSchema" xmlns:p="http://schemas.microsoft.com/office/2006/metadata/properties" xmlns:ns2="35e9d0c8-6a65-4a61-9598-ce15a321690e" xmlns:ns3="7dfd32f4-c337-4dac-8da9-12c071098413" targetNamespace="http://schemas.microsoft.com/office/2006/metadata/properties" ma:root="true" ma:fieldsID="57eaa14de43306b314bbbd1e996c327e" ns2:_="" ns3:_="">
    <xsd:import namespace="35e9d0c8-6a65-4a61-9598-ce15a321690e"/>
    <xsd:import namespace="7dfd32f4-c337-4dac-8da9-12c071098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e9d0c8-6a65-4a61-9598-ce15a32169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e5965820-1b97-4994-ad5a-2b1f2cea3f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fd32f4-c337-4dac-8da9-12c0710984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536526-4ee6-4788-a2e4-a0862655bd4c}" ma:internalName="TaxCatchAll" ma:showField="CatchAllData" ma:web="7dfd32f4-c337-4dac-8da9-12c071098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fd32f4-c337-4dac-8da9-12c071098413" xsi:nil="true"/>
    <lcf76f155ced4ddcb4097134ff3c332f xmlns="35e9d0c8-6a65-4a61-9598-ce15a32169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DEB3F3-953F-4EEA-B025-20FC6C6B90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0C8625-2D5A-4803-9118-3EB51E9896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e9d0c8-6a65-4a61-9598-ce15a321690e"/>
    <ds:schemaRef ds:uri="7dfd32f4-c337-4dac-8da9-12c071098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076864-8A39-4EB5-8F63-01DE1C39D2EF}">
  <ds:schemaRefs>
    <ds:schemaRef ds:uri="http://schemas.microsoft.com/office/2006/metadata/properties"/>
    <ds:schemaRef ds:uri="http://schemas.microsoft.com/office/infopath/2007/PartnerControls"/>
    <ds:schemaRef ds:uri="7dfd32f4-c337-4dac-8da9-12c071098413"/>
    <ds:schemaRef ds:uri="35e9d0c8-6a65-4a61-9598-ce15a32169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Corrections</vt:lpstr>
    </vt:vector>
  </TitlesOfParts>
  <Company>HES-SO Valais Wallis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Roth Jocelyn</dc:creator>
  <cp:lastModifiedBy>Margni Manuele</cp:lastModifiedBy>
  <dcterms:created xsi:type="dcterms:W3CDTF">2026-03-19T17:15:14Z</dcterms:created>
  <dcterms:modified xsi:type="dcterms:W3CDTF">2026-05-17T21:58:55Z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0x0101001C91EC3650709A4A82A2B9370316570F</vt:lpwstr>
  </property>
  <property fmtid="{D5CDD505-2E9C-101B-9397-08002B2CF9AE}" pid="3" name="MediaServiceImageTags">
    <vt:lpwstr/>
  </property>
</Properties>
</file>