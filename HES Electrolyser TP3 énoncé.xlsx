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32" yWindow="1332" windowWidth="17280" windowHeight="9960" tabRatio="600" firstSheet="0" activeTab="1" autoFilterDateGrouping="1"/>
  </bookViews>
  <sheets>
    <sheet name="Exercice 1" sheetId="1" state="visible" r:id="rId1"/>
    <sheet name="Exercice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Aptos Narrow"/>
      <family val="2"/>
      <color theme="1"/>
      <sz val="11"/>
      <scheme val="minor"/>
    </font>
    <font>
      <name val="Cambria"/>
      <family val="1"/>
      <b val="1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Cambria"/>
      <family val="1"/>
      <color theme="1"/>
      <sz val="11"/>
    </font>
    <font>
      <name val="Aptos Narrow"/>
      <family val="2"/>
      <color theme="1"/>
      <sz val="11"/>
      <vertAlign val="subscript"/>
      <scheme val="minor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Symbol"/>
      <charset val="2"/>
      <family val="1"/>
      <color theme="1"/>
      <sz val="11"/>
    </font>
    <font>
      <name val="Segoe UI"/>
      <family val="2"/>
      <color rgb="FF393636"/>
      <sz val="8"/>
    </font>
    <font>
      <name val="Aptos Narrow"/>
      <family val="2"/>
      <b val="1"/>
      <color theme="1"/>
      <sz val="28"/>
      <scheme val="minor"/>
    </font>
    <font>
      <name val="Aptos Narrow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09FBB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10" fillId="0" borderId="0"/>
    <xf numFmtId="9" fontId="10" fillId="0" borderId="0"/>
  </cellStyleXfs>
  <cellXfs count="324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4" fillId="2" borderId="4" applyAlignment="1" pivotButton="0" quotePrefix="0" xfId="0">
      <alignment vertical="center"/>
    </xf>
    <xf numFmtId="0" fontId="0" fillId="2" borderId="2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wrapText="1"/>
    </xf>
    <xf numFmtId="0" fontId="4" fillId="0" borderId="5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11" fontId="0" fillId="0" borderId="0" pivotButton="0" quotePrefix="0" xfId="0"/>
    <xf numFmtId="0" fontId="7" fillId="0" borderId="0" applyAlignment="1" pivotButton="0" quotePrefix="0" xfId="0">
      <alignment horizontal="left" vertical="center" indent="6"/>
    </xf>
    <xf numFmtId="0" fontId="2" fillId="0" borderId="9" applyAlignment="1" pivotButton="0" quotePrefix="0" xfId="0">
      <alignment horizontal="right" wrapText="1"/>
    </xf>
    <xf numFmtId="0" fontId="0" fillId="0" borderId="1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0" fontId="0" fillId="2" borderId="14" applyAlignment="1" pivotButton="0" quotePrefix="0" xfId="0">
      <alignment vertical="center" wrapText="1"/>
    </xf>
    <xf numFmtId="0" fontId="4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4" fillId="0" borderId="15" applyAlignment="1" pivotButton="0" quotePrefix="0" xfId="0">
      <alignment horizontal="right" wrapText="1"/>
    </xf>
    <xf numFmtId="0" fontId="4" fillId="0" borderId="16" applyAlignment="1" pivotButton="0" quotePrefix="0" xfId="0">
      <alignment wrapText="1"/>
    </xf>
    <xf numFmtId="0" fontId="0" fillId="2" borderId="17" applyAlignment="1" pivotButton="0" quotePrefix="0" xfId="0">
      <alignment vertical="center" wrapText="1"/>
    </xf>
    <xf numFmtId="0" fontId="4" fillId="0" borderId="18" applyAlignment="1" pivotButton="0" quotePrefix="0" xfId="0">
      <alignment wrapText="1"/>
    </xf>
    <xf numFmtId="0" fontId="0" fillId="2" borderId="19" applyAlignment="1" pivotButton="0" quotePrefix="0" xfId="0">
      <alignment vertical="center" wrapText="1"/>
    </xf>
    <xf numFmtId="0" fontId="4" fillId="0" borderId="2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4" fillId="0" borderId="20" applyAlignment="1" pivotButton="0" quotePrefix="0" xfId="0">
      <alignment horizontal="right" wrapText="1"/>
    </xf>
    <xf numFmtId="0" fontId="4" fillId="0" borderId="21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12" applyAlignment="1" pivotButton="0" quotePrefix="0" xfId="0">
      <alignment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3" borderId="17" applyAlignment="1" pivotButton="0" quotePrefix="0" xfId="0">
      <alignment wrapText="1"/>
    </xf>
    <xf numFmtId="0" fontId="0" fillId="3" borderId="19" applyAlignment="1" pivotButton="0" quotePrefix="0" xfId="0">
      <alignment wrapText="1"/>
    </xf>
    <xf numFmtId="0" fontId="0" fillId="0" borderId="20" applyAlignment="1" pivotButton="0" quotePrefix="0" xfId="0">
      <alignment horizontal="right" wrapText="1"/>
    </xf>
    <xf numFmtId="0" fontId="0" fillId="0" borderId="21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5" fillId="0" borderId="12" applyAlignment="1" pivotButton="0" quotePrefix="0" xfId="0">
      <alignment horizontal="center" vertical="center"/>
    </xf>
    <xf numFmtId="0" fontId="3" fillId="0" borderId="30" applyAlignment="1" pivotButton="0" quotePrefix="0" xfId="0">
      <alignment vertical="center"/>
    </xf>
    <xf numFmtId="0" fontId="0" fillId="0" borderId="31" applyAlignment="1" pivotButton="0" quotePrefix="0" xfId="0">
      <alignment wrapText="1"/>
    </xf>
    <xf numFmtId="0" fontId="3" fillId="0" borderId="31" applyAlignment="1" pivotButton="0" quotePrefix="0" xfId="0">
      <alignment vertical="center"/>
    </xf>
    <xf numFmtId="0" fontId="0" fillId="0" borderId="25" applyAlignment="1" pivotButton="0" quotePrefix="0" xfId="0">
      <alignment wrapText="1"/>
    </xf>
    <xf numFmtId="0" fontId="0" fillId="0" borderId="14" pivotButton="0" quotePrefix="0" xfId="0"/>
    <xf numFmtId="11" fontId="2" fillId="0" borderId="9" applyAlignment="1" pivotButton="0" quotePrefix="0" xfId="0">
      <alignment horizontal="right" wrapText="1"/>
    </xf>
    <xf numFmtId="0" fontId="3" fillId="0" borderId="34" applyAlignment="1" pivotButton="0" quotePrefix="0" xfId="0">
      <alignment wrapText="1"/>
    </xf>
    <xf numFmtId="0" fontId="0" fillId="0" borderId="35" applyAlignment="1" pivotButton="0" quotePrefix="0" xfId="0">
      <alignment wrapText="1"/>
    </xf>
    <xf numFmtId="0" fontId="0" fillId="0" borderId="36" applyAlignment="1" pivotButton="0" quotePrefix="0" xfId="0">
      <alignment wrapText="1"/>
    </xf>
    <xf numFmtId="11" fontId="3" fillId="0" borderId="35" applyAlignment="1" pivotButton="0" quotePrefix="0" xfId="0">
      <alignment horizontal="right" wrapText="1"/>
    </xf>
    <xf numFmtId="0" fontId="0" fillId="0" borderId="33" applyAlignment="1" pivotButton="0" quotePrefix="0" xfId="0">
      <alignment wrapText="1"/>
    </xf>
    <xf numFmtId="0" fontId="2" fillId="0" borderId="33" applyAlignment="1" pivotButton="0" quotePrefix="0" xfId="0">
      <alignment horizontal="right" wrapText="1"/>
    </xf>
    <xf numFmtId="11" fontId="0" fillId="0" borderId="5" applyAlignment="1" pivotButton="0" quotePrefix="0" xfId="0">
      <alignment horizontal="right" wrapText="1"/>
    </xf>
    <xf numFmtId="11" fontId="0" fillId="0" borderId="37" applyAlignment="1" pivotButton="0" quotePrefix="0" xfId="0">
      <alignment horizontal="right" wrapText="1"/>
    </xf>
    <xf numFmtId="0" fontId="0" fillId="0" borderId="38" applyAlignment="1" pivotButton="0" quotePrefix="0" xfId="0">
      <alignment wrapText="1"/>
    </xf>
    <xf numFmtId="0" fontId="0" fillId="0" borderId="14" applyAlignment="1" pivotButton="0" quotePrefix="0" xfId="0">
      <alignment vertical="center"/>
    </xf>
    <xf numFmtId="0" fontId="0" fillId="0" borderId="16" applyAlignment="1" pivotButton="0" quotePrefix="0" xfId="0">
      <alignment wrapText="1"/>
    </xf>
    <xf numFmtId="0" fontId="0" fillId="0" borderId="15" pivotButton="0" quotePrefix="0" xfId="0"/>
    <xf numFmtId="0" fontId="0" fillId="0" borderId="40" applyAlignment="1" pivotButton="0" quotePrefix="0" xfId="0">
      <alignment horizontal="right" wrapText="1"/>
    </xf>
    <xf numFmtId="0" fontId="0" fillId="0" borderId="9" applyAlignment="1" pivotButton="0" quotePrefix="0" xfId="0">
      <alignment wrapText="1"/>
    </xf>
    <xf numFmtId="0" fontId="0" fillId="0" borderId="41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3" borderId="22" applyAlignment="1" pivotButton="0" quotePrefix="0" xfId="0">
      <alignment wrapText="1"/>
    </xf>
    <xf numFmtId="0" fontId="0" fillId="0" borderId="27" applyAlignment="1" pivotButton="0" quotePrefix="0" xfId="0">
      <alignment horizontal="right" wrapText="1"/>
    </xf>
    <xf numFmtId="0" fontId="0" fillId="0" borderId="32" applyAlignment="1" pivotButton="0" quotePrefix="0" xfId="0">
      <alignment wrapText="1"/>
    </xf>
    <xf numFmtId="0" fontId="0" fillId="3" borderId="23" applyAlignment="1" pivotButton="0" quotePrefix="0" xfId="0">
      <alignment wrapText="1"/>
    </xf>
    <xf numFmtId="0" fontId="0" fillId="0" borderId="42" applyAlignment="1" pivotButton="0" quotePrefix="0" xfId="0">
      <alignment wrapText="1"/>
    </xf>
    <xf numFmtId="0" fontId="0" fillId="3" borderId="43" applyAlignment="1" pivotButton="0" quotePrefix="0" xfId="0">
      <alignment wrapText="1"/>
    </xf>
    <xf numFmtId="0" fontId="0" fillId="3" borderId="24" applyAlignment="1" pivotButton="0" quotePrefix="0" xfId="0">
      <alignment wrapText="1"/>
    </xf>
    <xf numFmtId="0" fontId="0" fillId="0" borderId="44" applyAlignment="1" pivotButton="0" quotePrefix="0" xfId="0">
      <alignment wrapText="1"/>
    </xf>
    <xf numFmtId="11" fontId="6" fillId="0" borderId="44" applyAlignment="1" pivotButton="0" quotePrefix="0" xfId="0">
      <alignment horizontal="right" wrapText="1"/>
    </xf>
    <xf numFmtId="11" fontId="6" fillId="0" borderId="45" applyAlignment="1" pivotButton="0" quotePrefix="0" xfId="0">
      <alignment horizontal="right" wrapText="1"/>
    </xf>
    <xf numFmtId="0" fontId="0" fillId="0" borderId="16" pivotButton="0" quotePrefix="0" xfId="0"/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1" fontId="0" fillId="0" borderId="20" pivotButton="0" quotePrefix="0" xfId="0"/>
    <xf numFmtId="0" fontId="0" fillId="3" borderId="14" applyAlignment="1" pivotButton="0" quotePrefix="0" xfId="0">
      <alignment wrapText="1"/>
    </xf>
    <xf numFmtId="0" fontId="0" fillId="0" borderId="50" applyAlignment="1" pivotButton="0" quotePrefix="0" xfId="0">
      <alignment wrapText="1"/>
    </xf>
    <xf numFmtId="0" fontId="0" fillId="0" borderId="44" applyAlignment="1" pivotButton="0" quotePrefix="0" xfId="0">
      <alignment vertical="center"/>
    </xf>
    <xf numFmtId="0" fontId="0" fillId="0" borderId="45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5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wrapText="1"/>
    </xf>
    <xf numFmtId="0" fontId="0" fillId="0" borderId="48" applyAlignment="1" pivotButton="0" quotePrefix="0" xfId="0">
      <alignment horizontal="center" vertical="center" wrapText="1"/>
    </xf>
    <xf numFmtId="11" fontId="2" fillId="0" borderId="23" applyAlignment="1" pivotButton="0" quotePrefix="0" xfId="0">
      <alignment horizontal="right" wrapText="1"/>
    </xf>
    <xf numFmtId="0" fontId="2" fillId="0" borderId="23" applyAlignment="1" pivotButton="0" quotePrefix="0" xfId="0">
      <alignment horizontal="right" wrapText="1"/>
    </xf>
    <xf numFmtId="0" fontId="0" fillId="0" borderId="49" applyAlignment="1" pivotButton="0" quotePrefix="0" xfId="0">
      <alignment wrapText="1"/>
    </xf>
    <xf numFmtId="0" fontId="0" fillId="0" borderId="46" applyAlignment="1" pivotButton="0" quotePrefix="0" xfId="0">
      <alignment wrapText="1"/>
    </xf>
    <xf numFmtId="0" fontId="0" fillId="0" borderId="15" applyAlignment="1" pivotButton="0" quotePrefix="0" xfId="0">
      <alignment horizontal="right" wrapText="1"/>
    </xf>
    <xf numFmtId="0" fontId="2" fillId="0" borderId="52" applyAlignment="1" pivotButton="0" quotePrefix="0" xfId="0">
      <alignment horizontal="right" wrapText="1"/>
    </xf>
    <xf numFmtId="0" fontId="0" fillId="0" borderId="53" applyAlignment="1" pivotButton="0" quotePrefix="0" xfId="0">
      <alignment wrapText="1"/>
    </xf>
    <xf numFmtId="0" fontId="0" fillId="0" borderId="54" applyAlignment="1" pivotButton="0" quotePrefix="0" xfId="0">
      <alignment wrapText="1"/>
    </xf>
    <xf numFmtId="11" fontId="6" fillId="0" borderId="54" applyAlignment="1" pivotButton="0" quotePrefix="0" xfId="0">
      <alignment horizontal="right" wrapText="1"/>
    </xf>
    <xf numFmtId="0" fontId="0" fillId="0" borderId="26" applyAlignment="1" pivotButton="0" quotePrefix="0" xfId="0">
      <alignment wrapText="1"/>
    </xf>
    <xf numFmtId="11" fontId="0" fillId="0" borderId="5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6"/>
    </xf>
    <xf numFmtId="9" fontId="0" fillId="0" borderId="0" pivotButton="0" quotePrefix="0" xfId="0"/>
    <xf numFmtId="0" fontId="3" fillId="0" borderId="49" applyAlignment="1" pivotButton="0" quotePrefix="0" xfId="0">
      <alignment wrapText="1"/>
    </xf>
    <xf numFmtId="11" fontId="0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11" fontId="2" fillId="0" borderId="59" applyAlignment="1" pivotButton="0" quotePrefix="0" xfId="0">
      <alignment horizontal="right" wrapText="1"/>
    </xf>
    <xf numFmtId="0" fontId="2" fillId="0" borderId="20" applyAlignment="1" pivotButton="0" quotePrefix="0" xfId="0">
      <alignment horizontal="right" wrapText="1"/>
    </xf>
    <xf numFmtId="11" fontId="0" fillId="0" borderId="20" applyAlignment="1" pivotButton="0" quotePrefix="0" xfId="0">
      <alignment horizontal="right" wrapText="1"/>
    </xf>
    <xf numFmtId="11" fontId="6" fillId="0" borderId="60" applyAlignment="1" pivotButton="0" quotePrefix="0" xfId="0">
      <alignment horizontal="right" wrapText="1"/>
    </xf>
    <xf numFmtId="0" fontId="0" fillId="0" borderId="61" applyAlignment="1" pivotButton="0" quotePrefix="0" xfId="0">
      <alignment wrapText="1"/>
    </xf>
    <xf numFmtId="0" fontId="2" fillId="0" borderId="62" applyAlignment="1" pivotButton="0" quotePrefix="0" xfId="0">
      <alignment horizontal="right" wrapText="1"/>
    </xf>
    <xf numFmtId="0" fontId="0" fillId="0" borderId="31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50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1" pivotButton="0" quotePrefix="0" xfId="0"/>
    <xf numFmtId="0" fontId="0" fillId="0" borderId="23" pivotButton="0" quotePrefix="0" xfId="0"/>
    <xf numFmtId="0" fontId="0" fillId="0" borderId="4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8" pivotButton="0" quotePrefix="0" xfId="0"/>
    <xf numFmtId="0" fontId="0" fillId="0" borderId="44" pivotButton="0" quotePrefix="0" xfId="0"/>
    <xf numFmtId="0" fontId="0" fillId="0" borderId="33" pivotButton="0" quotePrefix="0" xfId="0"/>
    <xf numFmtId="0" fontId="0" fillId="0" borderId="45" pivotButton="0" quotePrefix="0" xfId="0"/>
    <xf numFmtId="0" fontId="0" fillId="2" borderId="14" applyAlignment="1" pivotButton="0" quotePrefix="0" xfId="0">
      <alignment vertical="center"/>
    </xf>
    <xf numFmtId="0" fontId="4" fillId="0" borderId="15" pivotButton="0" quotePrefix="0" xfId="0"/>
    <xf numFmtId="0" fontId="4" fillId="0" borderId="15" applyAlignment="1" pivotButton="0" quotePrefix="0" xfId="0">
      <alignment horizontal="right"/>
    </xf>
    <xf numFmtId="0" fontId="4" fillId="0" borderId="16" pivotButton="0" quotePrefix="0" xfId="0"/>
    <xf numFmtId="11" fontId="2" fillId="0" borderId="23" applyAlignment="1" pivotButton="0" quotePrefix="0" xfId="0">
      <alignment horizontal="right"/>
    </xf>
    <xf numFmtId="0" fontId="0" fillId="2" borderId="17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2" fillId="0" borderId="23" applyAlignment="1" pivotButton="0" quotePrefix="0" xfId="0">
      <alignment horizontal="right"/>
    </xf>
    <xf numFmtId="0" fontId="0" fillId="2" borderId="19" applyAlignment="1" pivotButton="0" quotePrefix="0" xfId="0">
      <alignment vertical="center"/>
    </xf>
    <xf numFmtId="0" fontId="0" fillId="0" borderId="20" applyAlignment="1" pivotButton="0" quotePrefix="0" xfId="0">
      <alignment horizontal="right"/>
    </xf>
    <xf numFmtId="0" fontId="0" fillId="0" borderId="15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18" pivotButton="0" quotePrefix="0" xfId="0"/>
    <xf numFmtId="0" fontId="0" fillId="0" borderId="61" pivotButton="0" quotePrefix="0" xfId="0"/>
    <xf numFmtId="0" fontId="3" fillId="0" borderId="49" pivotButton="0" quotePrefix="0" xfId="0"/>
    <xf numFmtId="0" fontId="0" fillId="0" borderId="46" pivotButton="0" quotePrefix="0" xfId="0"/>
    <xf numFmtId="0" fontId="0" fillId="0" borderId="53" pivotButton="0" quotePrefix="0" xfId="0"/>
    <xf numFmtId="11" fontId="0" fillId="0" borderId="51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12" applyAlignment="1" pivotButton="0" quotePrefix="0" xfId="0">
      <alignment horizontal="right" wrapText="1"/>
    </xf>
    <xf numFmtId="0" fontId="4" fillId="0" borderId="50" applyAlignment="1" pivotButton="0" quotePrefix="0" xfId="0">
      <alignment wrapText="1"/>
    </xf>
    <xf numFmtId="0" fontId="0" fillId="0" borderId="63" applyAlignment="1" pivotButton="0" quotePrefix="0" xfId="0">
      <alignment wrapText="1"/>
    </xf>
    <xf numFmtId="0" fontId="0" fillId="0" borderId="64" applyAlignment="1" pivotButton="0" quotePrefix="0" xfId="0">
      <alignment wrapText="1"/>
    </xf>
    <xf numFmtId="0" fontId="4" fillId="0" borderId="22" applyAlignment="1" pivotButton="0" quotePrefix="0" xfId="0">
      <alignment wrapText="1"/>
    </xf>
    <xf numFmtId="0" fontId="0" fillId="0" borderId="65" applyAlignment="1" pivotButton="0" quotePrefix="0" xfId="0">
      <alignment wrapText="1"/>
    </xf>
    <xf numFmtId="0" fontId="4" fillId="2" borderId="24" applyAlignment="1" pivotButton="0" quotePrefix="0" xfId="0">
      <alignment vertical="center"/>
    </xf>
    <xf numFmtId="0" fontId="0" fillId="2" borderId="33" applyAlignment="1" pivotButton="0" quotePrefix="0" xfId="0">
      <alignment wrapText="1"/>
    </xf>
    <xf numFmtId="0" fontId="0" fillId="2" borderId="45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4" fillId="0" borderId="12" pivotButton="0" quotePrefix="0" xfId="0"/>
    <xf numFmtId="0" fontId="4" fillId="0" borderId="12" applyAlignment="1" pivotButton="0" quotePrefix="0" xfId="0">
      <alignment horizontal="right"/>
    </xf>
    <xf numFmtId="0" fontId="4" fillId="0" borderId="50" pivotButton="0" quotePrefix="0" xfId="0"/>
    <xf numFmtId="0" fontId="0" fillId="0" borderId="63" pivotButton="0" quotePrefix="0" xfId="0"/>
    <xf numFmtId="0" fontId="4" fillId="0" borderId="22" pivotButton="0" quotePrefix="0" xfId="0"/>
    <xf numFmtId="0" fontId="0" fillId="2" borderId="33" pivotButton="0" quotePrefix="0" xfId="0"/>
    <xf numFmtId="0" fontId="0" fillId="2" borderId="45" pivotButton="0" quotePrefix="0" xfId="0"/>
    <xf numFmtId="0" fontId="0" fillId="0" borderId="24" pivotButton="0" quotePrefix="0" xfId="0"/>
    <xf numFmtId="0" fontId="3" fillId="0" borderId="56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0" fillId="2" borderId="47" applyAlignment="1" pivotButton="0" quotePrefix="0" xfId="0">
      <alignment vertical="center" wrapText="1"/>
    </xf>
    <xf numFmtId="0" fontId="0" fillId="2" borderId="49" applyAlignment="1" pivotButton="0" quotePrefix="0" xfId="0">
      <alignment vertical="center" wrapText="1"/>
    </xf>
    <xf numFmtId="0" fontId="0" fillId="2" borderId="47" applyAlignment="1" pivotButton="0" quotePrefix="0" xfId="0">
      <alignment vertical="center"/>
    </xf>
    <xf numFmtId="0" fontId="0" fillId="2" borderId="49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0" fillId="0" borderId="17" applyAlignment="1" pivotButton="0" quotePrefix="0" xfId="0">
      <alignment horizontal="center" wrapText="1"/>
    </xf>
    <xf numFmtId="0" fontId="0" fillId="0" borderId="17" applyAlignment="1" pivotButton="0" quotePrefix="0" xfId="0">
      <alignment wrapText="1"/>
    </xf>
    <xf numFmtId="11" fontId="0" fillId="0" borderId="17" pivotButton="0" quotePrefix="0" xfId="0"/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0" fontId="0" fillId="0" borderId="72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3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11" fontId="0" fillId="0" borderId="30" pivotButton="0" quotePrefix="0" xfId="0"/>
    <xf numFmtId="10" fontId="0" fillId="0" borderId="31" pivotButton="0" quotePrefix="0" xfId="0"/>
    <xf numFmtId="11" fontId="0" fillId="0" borderId="31" pivotButton="0" quotePrefix="0" xfId="0"/>
    <xf numFmtId="9" fontId="0" fillId="0" borderId="31" pivotButton="0" quotePrefix="0" xfId="1"/>
    <xf numFmtId="9" fontId="0" fillId="0" borderId="25" pivotButton="0" quotePrefix="0" xfId="1"/>
    <xf numFmtId="9" fontId="0" fillId="0" borderId="0" pivotButton="0" quotePrefix="0" xfId="1"/>
    <xf numFmtId="9" fontId="0" fillId="0" borderId="18" pivotButton="0" quotePrefix="0" xfId="1"/>
    <xf numFmtId="11" fontId="3" fillId="0" borderId="17" pivotButton="0" quotePrefix="0" xfId="0"/>
    <xf numFmtId="0" fontId="3" fillId="0" borderId="14" pivotButton="0" quotePrefix="0" xfId="0"/>
    <xf numFmtId="0" fontId="3" fillId="0" borderId="17" pivotButton="0" quotePrefix="0" xfId="0"/>
    <xf numFmtId="11" fontId="0" fillId="0" borderId="0" applyAlignment="1" pivotButton="0" quotePrefix="0" xfId="0">
      <alignment wrapText="1"/>
    </xf>
    <xf numFmtId="0" fontId="0" fillId="0" borderId="51" applyAlignment="1" pivotButton="0" quotePrefix="0" xfId="0">
      <alignment wrapText="1"/>
    </xf>
    <xf numFmtId="0" fontId="0" fillId="0" borderId="81" applyAlignment="1" pivotButton="0" quotePrefix="0" xfId="0">
      <alignment wrapText="1"/>
    </xf>
    <xf numFmtId="0" fontId="0" fillId="0" borderId="14" applyAlignment="1" pivotButton="0" quotePrefix="0" xfId="0">
      <alignment horizontal="center" wrapText="1"/>
    </xf>
    <xf numFmtId="0" fontId="0" fillId="0" borderId="18" applyAlignment="1" pivotButton="0" quotePrefix="0" xfId="0">
      <alignment horizontal="center" wrapText="1"/>
    </xf>
    <xf numFmtId="0" fontId="4" fillId="0" borderId="17" applyAlignment="1" pivotButton="0" quotePrefix="0" xfId="0">
      <alignment horizontal="center" wrapText="1"/>
    </xf>
    <xf numFmtId="0" fontId="4" fillId="0" borderId="18" applyAlignment="1" pivotButton="0" quotePrefix="0" xfId="0">
      <alignment horizontal="center" wrapText="1"/>
    </xf>
    <xf numFmtId="164" fontId="0" fillId="0" borderId="29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1" fontId="3" fillId="0" borderId="0" pivotButton="0" quotePrefix="0" xfId="0"/>
    <xf numFmtId="164" fontId="0" fillId="0" borderId="30" applyAlignment="1" pivotButton="0" quotePrefix="0" xfId="0">
      <alignment wrapText="1"/>
    </xf>
    <xf numFmtId="164" fontId="0" fillId="0" borderId="31" applyAlignment="1" pivotButton="0" quotePrefix="0" xfId="0">
      <alignment wrapText="1"/>
    </xf>
    <xf numFmtId="164" fontId="0" fillId="0" borderId="19" applyAlignment="1" pivotButton="0" quotePrefix="0" xfId="0">
      <alignment wrapText="1"/>
    </xf>
    <xf numFmtId="0" fontId="0" fillId="0" borderId="82" pivotButton="0" quotePrefix="0" xfId="0"/>
    <xf numFmtId="0" fontId="0" fillId="0" borderId="52" pivotButton="0" quotePrefix="0" xfId="0"/>
    <xf numFmtId="0" fontId="0" fillId="0" borderId="52" applyAlignment="1" pivotButton="0" quotePrefix="0" xfId="0">
      <alignment wrapText="1"/>
    </xf>
    <xf numFmtId="11" fontId="6" fillId="0" borderId="52" applyAlignment="1" pivotButton="0" quotePrefix="0" xfId="0">
      <alignment horizontal="right" wrapText="1"/>
    </xf>
    <xf numFmtId="11" fontId="6" fillId="0" borderId="59" applyAlignment="1" pivotButton="0" quotePrefix="0" xfId="0">
      <alignment horizontal="right" wrapText="1"/>
    </xf>
    <xf numFmtId="0" fontId="0" fillId="0" borderId="19" applyAlignment="1" pivotButton="0" quotePrefix="0" xfId="0">
      <alignment wrapText="1"/>
    </xf>
    <xf numFmtId="164" fontId="0" fillId="0" borderId="20" applyAlignment="1" pivotButton="0" quotePrefix="0" xfId="0">
      <alignment wrapText="1"/>
    </xf>
    <xf numFmtId="11" fontId="0" fillId="0" borderId="14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11" fontId="3" fillId="0" borderId="31" applyAlignment="1" pivotButton="0" quotePrefix="0" xfId="0">
      <alignment horizontal="right" wrapText="1"/>
    </xf>
    <xf numFmtId="9" fontId="3" fillId="0" borderId="31" applyAlignment="1" pivotButton="0" quotePrefix="0" xfId="0">
      <alignment horizontal="right" wrapText="1"/>
    </xf>
    <xf numFmtId="2" fontId="3" fillId="0" borderId="31" applyAlignment="1" pivotButton="0" quotePrefix="0" xfId="0">
      <alignment horizontal="right" wrapText="1"/>
    </xf>
    <xf numFmtId="9" fontId="3" fillId="0" borderId="25" applyAlignment="1" pivotButton="0" quotePrefix="0" xfId="0">
      <alignment horizontal="right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wrapText="1"/>
    </xf>
    <xf numFmtId="0" fontId="3" fillId="0" borderId="15" pivotButton="0" quotePrefix="0" xfId="0"/>
    <xf numFmtId="0" fontId="3" fillId="0" borderId="15" applyAlignment="1" pivotButton="0" quotePrefix="0" xfId="0">
      <alignment wrapText="1"/>
    </xf>
    <xf numFmtId="0" fontId="3" fillId="0" borderId="83" applyAlignment="1" pivotButton="0" quotePrefix="0" xfId="0">
      <alignment wrapText="1"/>
    </xf>
    <xf numFmtId="0" fontId="3" fillId="0" borderId="84" applyAlignment="1" pivotButton="0" quotePrefix="0" xfId="0">
      <alignment wrapText="1"/>
    </xf>
    <xf numFmtId="0" fontId="13" fillId="0" borderId="0" pivotButton="0" quotePrefix="0" xfId="0"/>
    <xf numFmtId="0" fontId="0" fillId="0" borderId="30" applyAlignment="1" pivotButton="0" quotePrefix="0" xfId="0">
      <alignment vertical="center"/>
    </xf>
    <xf numFmtId="0" fontId="3" fillId="0" borderId="16" applyAlignment="1" pivotButton="0" quotePrefix="0" xfId="0">
      <alignment horizontal="left" wrapText="1"/>
    </xf>
    <xf numFmtId="0" fontId="3" fillId="0" borderId="85" applyAlignment="1" pivotButton="0" quotePrefix="0" xfId="0">
      <alignment wrapText="1"/>
    </xf>
    <xf numFmtId="0" fontId="3" fillId="0" borderId="15" applyAlignment="1" pivotButton="0" quotePrefix="0" xfId="0">
      <alignment horizontal="left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14" fillId="4" borderId="0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11" fontId="0" fillId="4" borderId="0" applyAlignment="1" pivotButton="0" quotePrefix="0" xfId="0">
      <alignment wrapText="1"/>
    </xf>
    <xf numFmtId="164" fontId="0" fillId="4" borderId="0" pivotButton="0" quotePrefix="0" xfId="0"/>
    <xf numFmtId="0" fontId="0" fillId="4" borderId="20" pivotButton="0" quotePrefix="0" xfId="0"/>
    <xf numFmtId="11" fontId="0" fillId="4" borderId="20" pivotButton="0" quotePrefix="0" xfId="0"/>
    <xf numFmtId="0" fontId="14" fillId="4" borderId="20" applyAlignment="1" pivotButton="0" quotePrefix="0" xfId="0">
      <alignment vertical="center"/>
    </xf>
    <xf numFmtId="0" fontId="14" fillId="4" borderId="21" applyAlignment="1" pivotButton="0" quotePrefix="0" xfId="0">
      <alignment vertical="center"/>
    </xf>
    <xf numFmtId="11" fontId="0" fillId="4" borderId="0" applyAlignment="1" pivotButton="0" quotePrefix="0" xfId="0">
      <alignment horizontal="right" wrapText="1"/>
    </xf>
    <xf numFmtId="11" fontId="0" fillId="4" borderId="17" pivotButton="0" quotePrefix="0" xfId="0"/>
    <xf numFmtId="9" fontId="0" fillId="4" borderId="0" pivotButton="0" quotePrefix="0" xfId="1"/>
    <xf numFmtId="11" fontId="0" fillId="4" borderId="0" pivotButton="0" quotePrefix="0" xfId="0"/>
    <xf numFmtId="9" fontId="0" fillId="4" borderId="18" pivotButton="0" quotePrefix="0" xfId="1"/>
    <xf numFmtId="0" fontId="0" fillId="4" borderId="0" applyAlignment="1" pivotButton="0" quotePrefix="0" xfId="0">
      <alignment horizontal="right" wrapText="1"/>
    </xf>
    <xf numFmtId="0" fontId="0" fillId="4" borderId="17" pivotButton="0" quotePrefix="0" xfId="0"/>
    <xf numFmtId="0" fontId="0" fillId="4" borderId="18" pivotButton="0" quotePrefix="0" xfId="0"/>
    <xf numFmtId="9" fontId="0" fillId="4" borderId="20" pivotButton="0" quotePrefix="0" xfId="1"/>
    <xf numFmtId="9" fontId="0" fillId="4" borderId="21" pivotButton="0" quotePrefix="0" xfId="1"/>
    <xf numFmtId="164" fontId="0" fillId="4" borderId="29" applyAlignment="1" pivotButton="0" quotePrefix="0" xfId="0">
      <alignment wrapText="1"/>
    </xf>
    <xf numFmtId="164" fontId="0" fillId="4" borderId="30" applyAlignment="1" pivotButton="0" quotePrefix="0" xfId="0">
      <alignment wrapText="1"/>
    </xf>
    <xf numFmtId="0" fontId="0" fillId="4" borderId="31" pivotButton="0" quotePrefix="0" xfId="0"/>
    <xf numFmtId="164" fontId="0" fillId="4" borderId="31" applyAlignment="1" pivotButton="0" quotePrefix="0" xfId="0">
      <alignment wrapText="1"/>
    </xf>
    <xf numFmtId="0" fontId="0" fillId="4" borderId="25" pivotButton="0" quotePrefix="0" xfId="0"/>
    <xf numFmtId="11" fontId="0" fillId="4" borderId="15" pivotButton="0" quotePrefix="0" xfId="0"/>
    <xf numFmtId="9" fontId="0" fillId="4" borderId="15" pivotButton="0" quotePrefix="0" xfId="1"/>
    <xf numFmtId="9" fontId="0" fillId="4" borderId="16" pivotButton="0" quotePrefix="0" xfId="1"/>
    <xf numFmtId="11" fontId="0" fillId="4" borderId="17" applyAlignment="1" pivotButton="0" quotePrefix="0" xfId="0">
      <alignment horizontal="right" wrapText="1"/>
    </xf>
    <xf numFmtId="11" fontId="0" fillId="4" borderId="18" applyAlignment="1" pivotButton="0" quotePrefix="0" xfId="0">
      <alignment horizontal="right" wrapText="1"/>
    </xf>
    <xf numFmtId="0" fontId="0" fillId="4" borderId="17" applyAlignment="1" pivotButton="0" quotePrefix="0" xfId="0">
      <alignment horizontal="right" wrapText="1"/>
    </xf>
    <xf numFmtId="0" fontId="0" fillId="4" borderId="18" applyAlignment="1" pivotButton="0" quotePrefix="0" xfId="0">
      <alignment wrapText="1"/>
    </xf>
    <xf numFmtId="164" fontId="0" fillId="4" borderId="17" pivotButton="0" quotePrefix="0" xfId="0"/>
    <xf numFmtId="11" fontId="0" fillId="4" borderId="14" pivotButton="0" quotePrefix="0" xfId="0"/>
    <xf numFmtId="11" fontId="0" fillId="4" borderId="19" pivotButton="0" quotePrefix="0" xfId="0"/>
    <xf numFmtId="10" fontId="0" fillId="4" borderId="16" pivotButton="0" quotePrefix="0" xfId="0"/>
    <xf numFmtId="10" fontId="0" fillId="4" borderId="18" pivotButton="0" quotePrefix="0" xfId="0"/>
    <xf numFmtId="10" fontId="0" fillId="4" borderId="21" pivotButton="0" quotePrefix="0" xfId="0"/>
    <xf numFmtId="0" fontId="0" fillId="4" borderId="17" applyAlignment="1" pivotButton="0" quotePrefix="0" xfId="0">
      <alignment wrapText="1"/>
    </xf>
    <xf numFmtId="9" fontId="0" fillId="4" borderId="18" applyAlignment="1" pivotButton="0" quotePrefix="0" xfId="0">
      <alignment horizontal="right" wrapText="1"/>
    </xf>
    <xf numFmtId="0" fontId="0" fillId="4" borderId="17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1" fontId="0" fillId="4" borderId="0" applyAlignment="1" pivotButton="0" quotePrefix="0" xfId="0">
      <alignment vertical="center" wrapText="1"/>
    </xf>
    <xf numFmtId="0" fontId="0" fillId="4" borderId="18" applyAlignment="1" pivotButton="0" quotePrefix="0" xfId="0">
      <alignment vertical="center" wrapText="1"/>
    </xf>
    <xf numFmtId="11" fontId="0" fillId="4" borderId="18" pivotButton="0" quotePrefix="0" xfId="0"/>
    <xf numFmtId="0" fontId="0" fillId="4" borderId="19" pivotButton="0" quotePrefix="0" xfId="0"/>
    <xf numFmtId="0" fontId="0" fillId="4" borderId="21" pivotButton="0" quotePrefix="0" xfId="0"/>
    <xf numFmtId="0" fontId="14" fillId="0" borderId="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1" fontId="0" fillId="0" borderId="0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3" fillId="0" borderId="6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0" fontId="0" fillId="2" borderId="7" applyAlignment="1" pivotButton="0" quotePrefix="0" xfId="0">
      <alignment vertical="center" wrapText="1"/>
    </xf>
    <xf numFmtId="0" fontId="0" fillId="2" borderId="8" applyAlignment="1" pivotButton="0" quotePrefix="0" xfId="0">
      <alignment vertical="center" wrapText="1"/>
    </xf>
    <xf numFmtId="0" fontId="0" fillId="2" borderId="28" applyAlignment="1" pivotButton="0" quotePrefix="0" xfId="0">
      <alignment vertical="center" wrapText="1"/>
    </xf>
    <xf numFmtId="0" fontId="3" fillId="0" borderId="74" applyAlignment="1" pivotButton="0" quotePrefix="0" xfId="0">
      <alignment horizontal="center" wrapText="1"/>
    </xf>
    <xf numFmtId="0" fontId="3" fillId="0" borderId="55" applyAlignment="1" pivotButton="0" quotePrefix="0" xfId="0">
      <alignment horizontal="center" wrapText="1"/>
    </xf>
    <xf numFmtId="0" fontId="3" fillId="0" borderId="66" applyAlignment="1" pivotButton="0" quotePrefix="0" xfId="0">
      <alignment horizontal="center" wrapText="1"/>
    </xf>
    <xf numFmtId="0" fontId="0" fillId="0" borderId="7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 wrapText="1"/>
    </xf>
    <xf numFmtId="0" fontId="0" fillId="0" borderId="76" applyAlignment="1" pivotButton="0" quotePrefix="0" xfId="0">
      <alignment horizontal="center" wrapText="1"/>
    </xf>
    <xf numFmtId="0" fontId="4" fillId="0" borderId="78" applyAlignment="1" pivotButton="0" quotePrefix="0" xfId="0">
      <alignment horizontal="center" wrapText="1"/>
    </xf>
    <xf numFmtId="0" fontId="4" fillId="0" borderId="79" applyAlignment="1" pivotButton="0" quotePrefix="0" xfId="0">
      <alignment horizontal="center" wrapText="1"/>
    </xf>
    <xf numFmtId="0" fontId="4" fillId="0" borderId="80" applyAlignment="1" pivotButton="0" quotePrefix="0" xfId="0">
      <alignment horizontal="center" wrapText="1"/>
    </xf>
    <xf numFmtId="0" fontId="3" fillId="0" borderId="86" applyAlignment="1" pivotButton="0" quotePrefix="0" xfId="0">
      <alignment horizontal="center" vertical="center" wrapText="1"/>
    </xf>
    <xf numFmtId="0" fontId="3" fillId="0" borderId="88" applyAlignment="1" pivotButton="0" quotePrefix="0" xfId="0">
      <alignment horizontal="center" wrapText="1"/>
    </xf>
    <xf numFmtId="0" fontId="0" fillId="0" borderId="55" pivotButton="0" quotePrefix="0" xfId="0"/>
    <xf numFmtId="0" fontId="0" fillId="0" borderId="66" pivotButton="0" quotePrefix="0" xfId="0"/>
    <xf numFmtId="0" fontId="0" fillId="0" borderId="89" applyAlignment="1" pivotButton="0" quotePrefix="0" xfId="0">
      <alignment horizontal="center" wrapText="1"/>
    </xf>
    <xf numFmtId="0" fontId="0" fillId="0" borderId="75" pivotButton="0" quotePrefix="0" xfId="0"/>
    <xf numFmtId="0" fontId="0" fillId="0" borderId="76" pivotButton="0" quotePrefix="0" xfId="0"/>
    <xf numFmtId="0" fontId="0" fillId="0" borderId="68" pivotButton="0" quotePrefix="0" xfId="0"/>
    <xf numFmtId="0" fontId="0" fillId="0" borderId="69" pivotButton="0" quotePrefix="0" xfId="0"/>
    <xf numFmtId="0" fontId="4" fillId="0" borderId="90" applyAlignment="1" pivotButton="0" quotePrefix="0" xfId="0">
      <alignment horizontal="center" wrapText="1"/>
    </xf>
    <xf numFmtId="0" fontId="0" fillId="0" borderId="79" pivotButton="0" quotePrefix="0" xfId="0"/>
    <xf numFmtId="0" fontId="0" fillId="0" borderId="80" pivotButton="0" quotePrefix="0" xfId="0"/>
    <xf numFmtId="0" fontId="0" fillId="2" borderId="87" applyAlignment="1" pivotButton="0" quotePrefix="0" xfId="0">
      <alignment vertical="center" wrapText="1"/>
    </xf>
    <xf numFmtId="0" fontId="0" fillId="0" borderId="8" pivotButton="0" quotePrefix="0" xfId="0"/>
    <xf numFmtId="0" fontId="0" fillId="0" borderId="28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Tier 2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2"/>
          <order val="2"/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4"/>
          <order val="4"/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8320463"/>
        <axId val="1838320943"/>
      </barChart>
      <catAx>
        <axId val="183832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38320943"/>
        <crosses val="autoZero"/>
        <auto val="1"/>
        <lblAlgn val="ctr"/>
        <lblOffset val="100"/>
        <noMultiLvlLbl val="0"/>
      </catAx>
      <valAx>
        <axId val="18383209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3832046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Tier 2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815655693473591"/>
          <y val="0.1627466847424118"/>
          <w val="0.8712859960491868"/>
          <h val="0.6253381656835199"/>
        </manualLayout>
      </layout>
      <barChart>
        <barDir val="col"/>
        <grouping val="stack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2"/>
          <order val="2"/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'Exercice 1'!#REF!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8320463"/>
        <axId val="1838320943"/>
      </barChart>
      <catAx>
        <axId val="183832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38320943"/>
        <crosses val="autoZero"/>
        <auto val="1"/>
        <lblAlgn val="ctr"/>
        <lblOffset val="100"/>
        <noMultiLvlLbl val="0"/>
      </catAx>
      <valAx>
        <axId val="18383209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3832046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105</row>
      <rowOff>0</rowOff>
    </from>
    <to>
      <col>0</col>
      <colOff>0</colOff>
      <row>106</row>
      <rowOff>166794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130</row>
      <rowOff>0</rowOff>
    </from>
    <to>
      <col>0</col>
      <colOff>0</colOff>
      <row>131</row>
      <rowOff>125590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4</col>
      <colOff>607816</colOff>
      <row>1</row>
      <rowOff>8483</rowOff>
    </from>
    <to>
      <col>8</col>
      <colOff>383683</colOff>
      <row>11</row>
      <rowOff>72814</rowOff>
    </to>
    <pic>
      <nvPicPr>
        <cNvPr id="14" name="Picture 13" descr="The image appears to be a diagram or flowchart detailing various components and their relationships, including measurements in kilograms (kg) and different types of substances like aluminum, water, and tea, along with a recycling tier system.&#10;&#10;AI-generated content may be incorrect.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677233" y="1627733"/>
          <a:ext cx="3992690" cy="186476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235151</colOff>
      <row>0</row>
      <rowOff>133819</rowOff>
    </from>
    <ext cx="4168620" cy="1927392"/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111951" y="133819"/>
          <a:ext cx="4168620" cy="192739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"/>
  <sheetViews>
    <sheetView zoomScale="70" zoomScaleNormal="70" workbookViewId="0">
      <selection activeCell="K33" sqref="K33"/>
    </sheetView>
  </sheetViews>
  <sheetFormatPr baseColWidth="8" defaultRowHeight="14.4"/>
  <cols>
    <col width="32.21875" customWidth="1" min="2" max="2"/>
    <col width="12" bestFit="1" customWidth="1" min="3" max="3"/>
    <col width="20.77734375" customWidth="1" min="4" max="4"/>
    <col width="12" customWidth="1" min="5" max="5"/>
    <col width="17.6640625" customWidth="1" min="6" max="6"/>
    <col width="12.6640625" customWidth="1" min="7" max="7"/>
    <col width="19.21875" customWidth="1" min="8" max="8"/>
    <col width="12" bestFit="1" customWidth="1" min="9" max="9"/>
    <col width="72" customWidth="1" min="10" max="10"/>
    <col width="25.5546875" customWidth="1" min="11" max="11"/>
    <col width="8.77734375" bestFit="1" customWidth="1" min="12" max="13"/>
    <col width="25.109375" customWidth="1" min="14" max="14"/>
    <col width="8.77734375" bestFit="1" customWidth="1" min="15" max="15"/>
    <col width="9.21875" customWidth="1" min="16" max="17"/>
    <col width="25" customWidth="1" min="19" max="19"/>
    <col width="14.21875" customWidth="1" min="22" max="22"/>
    <col width="11" bestFit="1" customWidth="1" min="23" max="23"/>
    <col width="12.109375" bestFit="1" customWidth="1" min="24" max="24"/>
    <col width="8.77734375" bestFit="1" customWidth="1" min="26" max="26"/>
    <col width="32.109375" customWidth="1" min="27" max="27"/>
    <col width="8.77734375" bestFit="1" customWidth="1" min="28" max="36"/>
  </cols>
  <sheetData>
    <row r="1" ht="36.6" customHeight="1">
      <c r="A1" s="237" t="inlineStr">
        <is>
          <t>Partie 1</t>
        </is>
      </c>
    </row>
    <row r="6" ht="15" customHeight="1" thickBot="1"/>
    <row r="7">
      <c r="B7" s="59" t="inlineStr">
        <is>
          <t>Convesion unités:</t>
        </is>
      </c>
      <c r="C7" s="72" t="n"/>
      <c r="D7" s="87" t="n"/>
    </row>
    <row r="8" ht="15" customHeight="1" thickBot="1">
      <c r="B8" s="46" t="n"/>
      <c r="C8" t="n">
        <v>1000</v>
      </c>
      <c r="D8" s="47" t="inlineStr">
        <is>
          <t>g/kg</t>
        </is>
      </c>
    </row>
    <row r="9">
      <c r="B9" s="59" t="inlineStr">
        <is>
          <t>Données:</t>
        </is>
      </c>
      <c r="C9" s="72" t="n"/>
      <c r="D9" s="87" t="n"/>
    </row>
    <row r="10">
      <c r="B10" s="46" t="inlineStr">
        <is>
          <t>Poids cannette Aluminium</t>
        </is>
      </c>
      <c r="C10" t="n">
        <v>13</v>
      </c>
      <c r="D10" s="47" t="inlineStr">
        <is>
          <t>g</t>
        </is>
      </c>
    </row>
    <row r="11" ht="15" customHeight="1" thickBot="1">
      <c r="B11" s="48" t="inlineStr">
        <is>
          <t>Electricité pour prod cannette</t>
        </is>
      </c>
      <c r="C11" s="49" t="n">
        <v>0.06</v>
      </c>
      <c r="D11" s="50" t="inlineStr">
        <is>
          <t>kWh/cannette</t>
        </is>
      </c>
    </row>
    <row r="13" ht="15" customHeight="1" thickBot="1">
      <c r="B13" s="5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>
      <c r="B14" s="203" t="inlineStr">
        <is>
          <t>Composé</t>
        </is>
      </c>
      <c r="C14" s="233" t="inlineStr">
        <is>
          <t>Quantité</t>
        </is>
      </c>
      <c r="D14" s="233" t="inlineStr">
        <is>
          <t>Unité</t>
        </is>
      </c>
      <c r="E14" s="234" t="inlineStr">
        <is>
          <t>kgCO2e/unit</t>
        </is>
      </c>
      <c r="F14" s="235" t="inlineStr">
        <is>
          <t>PDF*m2*yr/unit</t>
        </is>
      </c>
      <c r="G14" s="236" t="inlineStr">
        <is>
          <t>MJ/unit</t>
        </is>
      </c>
      <c r="H14" s="236" t="inlineStr">
        <is>
          <t>DALY/unit</t>
        </is>
      </c>
      <c r="I14" s="240" t="inlineStr">
        <is>
          <t>m3e/unit</t>
        </is>
      </c>
      <c r="J14" s="241" t="inlineStr">
        <is>
          <t>EcoQuery</t>
        </is>
      </c>
      <c r="K14" s="239" t="inlineStr">
        <is>
          <t>Location</t>
        </is>
      </c>
    </row>
    <row r="15">
      <c r="B15" s="46" t="inlineStr">
        <is>
          <t>Aluminium primaire</t>
        </is>
      </c>
      <c r="C15" t="n">
        <v>1</v>
      </c>
      <c r="D15" t="inlineStr">
        <is>
          <t>kg</t>
        </is>
      </c>
      <c r="E15" s="242" t="n">
        <v>18.1</v>
      </c>
      <c r="F15" s="243" t="n">
        <v>3.39</v>
      </c>
      <c r="G15" s="243" t="n">
        <v>188</v>
      </c>
      <c r="H15" s="243" t="n">
        <v>2.51e-05</v>
      </c>
      <c r="I15" s="243" t="n">
        <v>3.59</v>
      </c>
      <c r="J15" s="244" t="inlineStr">
        <is>
          <t>market for aluminium, primary, ingot | ROW</t>
        </is>
      </c>
      <c r="K15" s="245" t="inlineStr">
        <is>
          <t>ROW</t>
        </is>
      </c>
    </row>
    <row r="16" ht="13.8" customHeight="1">
      <c r="B16" s="46" t="inlineStr">
        <is>
          <t>Eau</t>
        </is>
      </c>
      <c r="C16" t="n">
        <v>1</v>
      </c>
      <c r="D16" t="inlineStr">
        <is>
          <t>kg</t>
        </is>
      </c>
      <c r="E16" s="242" t="n">
        <v>7.3e-05</v>
      </c>
      <c r="F16" s="243" t="n">
        <v>1.84e-05</v>
      </c>
      <c r="G16" s="243" t="n">
        <v>0.00237</v>
      </c>
      <c r="H16" s="246" t="n">
        <v>1.03e-10</v>
      </c>
      <c r="I16" s="243" t="n">
        <v>0.000218</v>
      </c>
      <c r="J16" s="244" t="inlineStr">
        <is>
          <t>market for tap water | CH</t>
        </is>
      </c>
      <c r="K16" s="245" t="inlineStr">
        <is>
          <t>CH</t>
        </is>
      </c>
    </row>
    <row r="17">
      <c r="B17" s="46" t="inlineStr">
        <is>
          <t>Sucre de Betrave</t>
        </is>
      </c>
      <c r="C17" t="n">
        <v>1</v>
      </c>
      <c r="D17" t="inlineStr">
        <is>
          <t>kg</t>
        </is>
      </c>
      <c r="E17" s="242" t="n">
        <v>0.571</v>
      </c>
      <c r="F17" s="243" t="n">
        <v>0.5669999999999999</v>
      </c>
      <c r="G17" s="243" t="n">
        <v>6.55</v>
      </c>
      <c r="H17" s="243" t="n">
        <v>1.07e-06</v>
      </c>
      <c r="I17" s="243" t="n">
        <v>1.83</v>
      </c>
      <c r="J17" s="244" t="inlineStr">
        <is>
          <t>market for sugar, from sugar beet | GLO</t>
        </is>
      </c>
      <c r="K17" s="245" t="inlineStr">
        <is>
          <t>GLO</t>
        </is>
      </c>
    </row>
    <row r="18">
      <c r="B18" s="46" t="inlineStr">
        <is>
          <t>Electricité</t>
        </is>
      </c>
      <c r="C18" t="n">
        <v>1</v>
      </c>
      <c r="D18" t="inlineStr">
        <is>
          <t>kWh</t>
        </is>
      </c>
      <c r="E18" s="242" t="n">
        <v>0.022</v>
      </c>
      <c r="F18" s="243" t="n">
        <v>0.00613</v>
      </c>
      <c r="G18" s="243" t="n">
        <v>3.37</v>
      </c>
      <c r="H18" s="246" t="n">
        <v>2.59e-08</v>
      </c>
      <c r="I18" s="243" t="n">
        <v>0.415</v>
      </c>
      <c r="J18" s="244" t="inlineStr">
        <is>
          <t>market for electricity, medium voltage | CH</t>
        </is>
      </c>
      <c r="K18" s="245" t="inlineStr">
        <is>
          <t>CH</t>
        </is>
      </c>
    </row>
    <row r="19">
      <c r="B19" s="46" t="inlineStr">
        <is>
          <t>Landfill of aluminium</t>
        </is>
      </c>
      <c r="C19" t="n">
        <v>1</v>
      </c>
      <c r="D19" t="inlineStr">
        <is>
          <t>kg</t>
        </is>
      </c>
      <c r="E19" s="247" t="n">
        <v>0.0172</v>
      </c>
      <c r="F19" s="243" t="n">
        <v>0.00695</v>
      </c>
      <c r="G19" s="243" t="n">
        <v>0.368</v>
      </c>
      <c r="H19" s="246" t="n">
        <v>3.26e-08</v>
      </c>
      <c r="I19" s="243" t="n">
        <v>0.0178</v>
      </c>
      <c r="J19" s="244" t="inlineStr">
        <is>
          <t>treatment of waste aluminium, inert material landfill | CH</t>
        </is>
      </c>
      <c r="K19" s="245" t="inlineStr">
        <is>
          <t>CH</t>
        </is>
      </c>
    </row>
    <row r="20">
      <c r="B20" s="46" t="inlineStr">
        <is>
          <t>Recyclage Aluminium</t>
        </is>
      </c>
      <c r="C20" t="n">
        <v>1</v>
      </c>
      <c r="D20" t="inlineStr">
        <is>
          <t>kg</t>
        </is>
      </c>
      <c r="E20" s="242" t="n">
        <v>0.00711</v>
      </c>
      <c r="F20" s="243" t="n">
        <v>0.00186</v>
      </c>
      <c r="G20" s="243" t="n">
        <v>0.12</v>
      </c>
      <c r="H20" s="243" t="n">
        <v>6.22e-09</v>
      </c>
      <c r="I20" s="243" t="n">
        <v>0.00592</v>
      </c>
      <c r="J20" s="244" t="inlineStr">
        <is>
          <t>market for aluminium, in mixed metal scrap | CH</t>
        </is>
      </c>
      <c r="K20" s="245" t="inlineStr">
        <is>
          <t>CH</t>
        </is>
      </c>
    </row>
    <row r="21">
      <c r="B21" s="46" t="inlineStr">
        <is>
          <t>PET</t>
        </is>
      </c>
      <c r="C21" t="n">
        <v>1</v>
      </c>
      <c r="D21" t="inlineStr">
        <is>
          <t>kg</t>
        </is>
      </c>
      <c r="E21" s="242" t="n">
        <v>3.71</v>
      </c>
      <c r="F21" s="243" t="n">
        <v>0.624</v>
      </c>
      <c r="G21" s="243" t="n">
        <v>83.90000000000001</v>
      </c>
      <c r="H21" s="246" t="n">
        <v>2.92e-06</v>
      </c>
      <c r="I21" s="243" t="n">
        <v>0.894</v>
      </c>
      <c r="J21" s="244" t="inlineStr">
        <is>
          <t>market for polyethylene terephthalate, granulate, amorphous | GLO</t>
        </is>
      </c>
      <c r="K21" s="245" t="inlineStr">
        <is>
          <t>GLO</t>
        </is>
      </c>
    </row>
    <row r="22" ht="15" customHeight="1" thickBot="1">
      <c r="B22" s="48" t="inlineStr">
        <is>
          <t>PET inceneration</t>
        </is>
      </c>
      <c r="C22" s="49" t="n">
        <v>1</v>
      </c>
      <c r="D22" s="49" t="inlineStr">
        <is>
          <t>Kg</t>
        </is>
      </c>
      <c r="E22" s="248" t="n">
        <v>2.37</v>
      </c>
      <c r="F22" s="248" t="n">
        <v>0.0512</v>
      </c>
      <c r="G22" s="248" t="n">
        <v>0.383</v>
      </c>
      <c r="H22" s="249" t="n">
        <v>1.68e-07</v>
      </c>
      <c r="I22" s="248" t="n">
        <v>0.141</v>
      </c>
      <c r="J22" s="250" t="inlineStr">
        <is>
          <t>treatment of waste plastics, mixture, municipal incineration | CH</t>
        </is>
      </c>
      <c r="K22" s="251" t="inlineStr">
        <is>
          <t>CH</t>
        </is>
      </c>
    </row>
    <row r="23" ht="13.2" customHeight="1" thickBot="1"/>
    <row r="24" ht="13.2" customHeight="1" thickBot="1">
      <c r="B24" s="55" t="inlineStr">
        <is>
          <t>Life cycle inventory (intermediary flows)</t>
        </is>
      </c>
      <c r="C24" s="56" t="n"/>
      <c r="D24" s="56" t="n"/>
      <c r="E24" s="56" t="n"/>
      <c r="F24" s="56" t="n"/>
      <c r="G24" s="56" t="n"/>
      <c r="H24" s="56" t="n"/>
      <c r="I24" s="56" t="n"/>
      <c r="J24" s="56" t="n"/>
      <c r="K24" s="57" t="inlineStr">
        <is>
          <t>Life Cycle Inventory (elementary flow, CO2)</t>
        </is>
      </c>
      <c r="L24" s="56" t="n"/>
      <c r="M24" s="56" t="n"/>
      <c r="N24" s="56" t="n"/>
      <c r="O24" s="58" t="n"/>
    </row>
    <row r="25" ht="13.2" customHeight="1" thickBot="1">
      <c r="B25" s="160" t="inlineStr">
        <is>
          <t>Unit processes</t>
        </is>
      </c>
      <c r="C25" s="45" t="n"/>
      <c r="D25" s="45" t="n"/>
      <c r="E25" s="45" t="n"/>
      <c r="F25" s="69" t="inlineStr">
        <is>
          <t>unit and</t>
        </is>
      </c>
      <c r="G25" s="95" t="n"/>
      <c r="H25" s="96" t="inlineStr">
        <is>
          <t>Scaling factors [-] to:</t>
        </is>
      </c>
      <c r="I25" s="79" t="n"/>
      <c r="J25" s="174" t="inlineStr">
        <is>
          <t>Intermediary flows / FU</t>
        </is>
      </c>
      <c r="K25" s="161" t="n"/>
      <c r="P25" s="208" t="inlineStr">
        <is>
          <t>Life cycle impact scores / FU &amp; Contribution analysis</t>
        </is>
      </c>
      <c r="Q25" s="183" t="n"/>
      <c r="R25" s="183" t="n"/>
      <c r="S25" s="183" t="n"/>
      <c r="T25" s="183" t="n"/>
      <c r="U25" s="183" t="n"/>
      <c r="V25" s="183" t="n"/>
      <c r="W25" s="183" t="n"/>
      <c r="X25" s="183" t="n"/>
      <c r="Y25" s="184" t="n"/>
    </row>
    <row r="26" ht="13.2" customHeight="1" thickBot="1">
      <c r="B26" s="97" t="n"/>
      <c r="C26" s="2" t="inlineStr">
        <is>
          <t>Flow type</t>
        </is>
      </c>
      <c r="D26" s="2" t="inlineStr">
        <is>
          <t>Flow name</t>
        </is>
      </c>
      <c r="E26" s="2" t="inlineStr">
        <is>
          <t>Quantity</t>
        </is>
      </c>
      <c r="F26" s="93" t="inlineStr">
        <is>
          <t>dimensions</t>
        </is>
      </c>
      <c r="G26" s="97" t="n"/>
      <c r="H26" s="2" t="n"/>
      <c r="I26" s="98" t="inlineStr">
        <is>
          <t>FU</t>
        </is>
      </c>
      <c r="J26" s="175" t="n"/>
      <c r="K26" s="188" t="inlineStr">
        <is>
          <t>CC</t>
        </is>
      </c>
      <c r="L26" s="189" t="inlineStr">
        <is>
          <t>EQ_r</t>
        </is>
      </c>
      <c r="M26" s="189" t="inlineStr">
        <is>
          <t>FNEU</t>
        </is>
      </c>
      <c r="N26" s="189" t="inlineStr">
        <is>
          <t>HH_r</t>
        </is>
      </c>
      <c r="O26" s="207" t="inlineStr">
        <is>
          <t>WS</t>
        </is>
      </c>
      <c r="P26" s="185" t="inlineStr">
        <is>
          <t>kgCO2/unit</t>
        </is>
      </c>
      <c r="Q26" s="213" t="inlineStr">
        <is>
          <t>%</t>
        </is>
      </c>
      <c r="R26" s="213" t="inlineStr">
        <is>
          <t>PDF*m2*yr</t>
        </is>
      </c>
      <c r="S26" s="213" t="inlineStr">
        <is>
          <t>%</t>
        </is>
      </c>
      <c r="T26" s="213" t="inlineStr">
        <is>
          <t>MJ</t>
        </is>
      </c>
      <c r="U26" s="213" t="inlineStr">
        <is>
          <t>%</t>
        </is>
      </c>
      <c r="V26" s="213" t="inlineStr">
        <is>
          <t>DALY</t>
        </is>
      </c>
      <c r="W26" s="213" t="inlineStr">
        <is>
          <t>%</t>
        </is>
      </c>
      <c r="X26" s="213" t="inlineStr">
        <is>
          <t>m3e</t>
        </is>
      </c>
      <c r="Y26" s="209" t="inlineStr">
        <is>
          <t>%</t>
        </is>
      </c>
    </row>
    <row r="27" ht="13.2" customHeight="1" thickBot="1">
      <c r="B27" s="162" t="inlineStr">
        <is>
          <t>Disaggregated unit processes (foreground)</t>
        </is>
      </c>
      <c r="C27" s="163" t="n"/>
      <c r="D27" s="163" t="n"/>
      <c r="E27" s="163" t="n"/>
      <c r="F27" s="164" t="n"/>
      <c r="G27" s="165" t="inlineStr">
        <is>
          <t>Tier 0-1</t>
        </is>
      </c>
      <c r="H27" s="65" t="inlineStr">
        <is>
          <t>Tier 1-2</t>
        </is>
      </c>
      <c r="I27" s="120" t="inlineStr">
        <is>
          <t>Tier n-0</t>
        </is>
      </c>
      <c r="J27" s="176" t="n"/>
      <c r="K27" s="191" t="inlineStr">
        <is>
          <t>kgCO2e/unit</t>
        </is>
      </c>
      <c r="L27" s="19" t="inlineStr">
        <is>
          <t>PDF*m2*yr/unit</t>
        </is>
      </c>
      <c r="M27" s="19" t="inlineStr">
        <is>
          <t>MJ/unit</t>
        </is>
      </c>
      <c r="N27" s="19" t="inlineStr">
        <is>
          <t>DALY/unit</t>
        </is>
      </c>
      <c r="O27" s="206" t="inlineStr">
        <is>
          <t>m3e/unit</t>
        </is>
      </c>
      <c r="P27" s="210" t="inlineStr">
        <is>
          <t>Tier1</t>
        </is>
      </c>
      <c r="Q27" s="232" t="n"/>
      <c r="R27" s="232" t="n"/>
      <c r="S27" s="232" t="n"/>
      <c r="T27" s="232" t="n"/>
      <c r="U27" s="232" t="n"/>
      <c r="V27" s="232" t="n"/>
      <c r="W27" s="232" t="n"/>
      <c r="X27" s="232" t="n"/>
      <c r="Y27" s="211" t="n"/>
    </row>
    <row r="28" ht="13.2" customHeight="1" thickBot="1">
      <c r="B28" s="177" t="n"/>
      <c r="C28" s="155" t="inlineStr">
        <is>
          <t>Output (FU)</t>
        </is>
      </c>
      <c r="D28" s="155" t="inlineStr">
        <is>
          <t>Canette de thé froid</t>
        </is>
      </c>
      <c r="E28" s="156" t="n">
        <v>1</v>
      </c>
      <c r="F28" s="157" t="inlineStr">
        <is>
          <t>unit</t>
        </is>
      </c>
      <c r="G28" s="158" t="n"/>
      <c r="H28" s="37" t="n"/>
      <c r="I28" s="92" t="n"/>
      <c r="J28" s="159" t="n"/>
      <c r="K28" s="205" t="n"/>
      <c r="P28" s="253">
        <f>SUM(P32:P38)</f>
        <v/>
      </c>
      <c r="Q28" s="254">
        <f>P28/P$28</f>
        <v/>
      </c>
      <c r="R28" s="255">
        <f>SUM(R32:R38)</f>
        <v/>
      </c>
      <c r="S28" s="254">
        <f>R28/R$28</f>
        <v/>
      </c>
      <c r="T28" s="255">
        <f>SUM(T32:T38)</f>
        <v/>
      </c>
      <c r="U28" s="254">
        <f>T28/T$28</f>
        <v/>
      </c>
      <c r="V28" s="255">
        <f>SUM(V32:V38)</f>
        <v/>
      </c>
      <c r="W28" s="254">
        <f>V28/V$28</f>
        <v/>
      </c>
      <c r="X28" s="255">
        <f>SUM(X32:X38)</f>
        <v/>
      </c>
      <c r="Y28" s="256">
        <f>X28/X$28</f>
        <v/>
      </c>
    </row>
    <row r="29" ht="15" customHeight="1" thickBot="1">
      <c r="B29" s="177" t="n"/>
      <c r="C29" s="2" t="inlineStr">
        <is>
          <t>Input</t>
        </is>
      </c>
      <c r="D29" s="2" t="inlineStr">
        <is>
          <t>Eau</t>
        </is>
      </c>
      <c r="E29" s="16" t="n">
        <v>0.33</v>
      </c>
      <c r="F29" s="84" t="inlineStr">
        <is>
          <t>Kg</t>
        </is>
      </c>
      <c r="G29" s="97" t="n"/>
      <c r="H29" s="2" t="n"/>
      <c r="I29" s="84" t="n"/>
      <c r="J29" s="106" t="n"/>
      <c r="K29" s="22" t="n"/>
      <c r="P29" s="46" t="n"/>
      <c r="Q29" s="200" t="n"/>
      <c r="Y29" s="47" t="n"/>
    </row>
    <row r="30" ht="15" customHeight="1" thickBot="1">
      <c r="B30" s="177" t="n"/>
      <c r="C30" s="2" t="inlineStr">
        <is>
          <t>Input</t>
        </is>
      </c>
      <c r="D30" s="2" t="inlineStr">
        <is>
          <t>Sucre de canne</t>
        </is>
      </c>
      <c r="E30" s="16" t="n">
        <v>0.03</v>
      </c>
      <c r="F30" s="84" t="inlineStr">
        <is>
          <t>Kg</t>
        </is>
      </c>
      <c r="G30" s="97" t="n"/>
      <c r="H30" s="2" t="n"/>
      <c r="I30" s="84" t="n"/>
      <c r="J30" s="106" t="n"/>
      <c r="K30" s="22" t="n"/>
      <c r="P30" s="46" t="n"/>
      <c r="Q30" s="200" t="n"/>
      <c r="Y30" s="47" t="n"/>
    </row>
    <row r="31" ht="15" customHeight="1" thickBot="1">
      <c r="B31" s="178" t="n"/>
      <c r="C31" s="49" t="inlineStr">
        <is>
          <t>Input</t>
        </is>
      </c>
      <c r="D31" s="65" t="inlineStr">
        <is>
          <t>FdV</t>
        </is>
      </c>
      <c r="E31" s="12" t="n">
        <v>1</v>
      </c>
      <c r="F31" s="94" t="inlineStr">
        <is>
          <t>unit</t>
        </is>
      </c>
      <c r="G31" s="97" t="n"/>
      <c r="H31" s="2" t="n"/>
      <c r="I31" s="84" t="n"/>
      <c r="J31" s="106" t="n"/>
      <c r="K31" s="22" t="n"/>
      <c r="P31" s="202" t="inlineStr">
        <is>
          <t>Tier 1</t>
        </is>
      </c>
      <c r="Q31" s="200" t="n"/>
      <c r="Y31" s="47" t="n"/>
    </row>
    <row r="32" ht="15" customHeight="1" thickBot="1">
      <c r="B32" s="24" t="inlineStr">
        <is>
          <t>Canette Vide</t>
        </is>
      </c>
      <c r="C32" s="25" t="inlineStr">
        <is>
          <t>Output</t>
        </is>
      </c>
      <c r="D32" s="45" t="inlineStr">
        <is>
          <t>Canette vide</t>
        </is>
      </c>
      <c r="E32" s="27" t="n">
        <v>1</v>
      </c>
      <c r="F32" s="28" t="inlineStr">
        <is>
          <t>unit</t>
        </is>
      </c>
      <c r="G32" s="99">
        <f>E28/E32</f>
        <v/>
      </c>
      <c r="H32" s="2" t="n"/>
      <c r="I32" s="84" t="n"/>
      <c r="J32" s="106" t="n"/>
      <c r="K32" s="252" t="n"/>
      <c r="L32" s="252" t="n"/>
      <c r="M32" s="252" t="n"/>
      <c r="N32" s="252" t="n"/>
      <c r="O32" s="252" t="n"/>
      <c r="P32" s="253" t="n"/>
      <c r="Q32" s="254" t="n"/>
      <c r="R32" s="255" t="n"/>
      <c r="S32" s="254" t="n"/>
      <c r="T32" s="255" t="n"/>
      <c r="U32" s="254" t="n"/>
      <c r="V32" s="255" t="n"/>
      <c r="W32" s="254" t="n"/>
      <c r="X32" s="255" t="n"/>
      <c r="Y32" s="256" t="n"/>
    </row>
    <row r="33" ht="53.4" customHeight="1" thickBot="1">
      <c r="B33" s="29" t="n"/>
      <c r="C33" s="22" t="inlineStr">
        <is>
          <t>Input</t>
        </is>
      </c>
      <c r="D33" s="22" t="inlineStr">
        <is>
          <t>Electricité</t>
        </is>
      </c>
      <c r="E33" s="36">
        <f>C11</f>
        <v/>
      </c>
      <c r="F33" s="40" t="inlineStr">
        <is>
          <t>kWh</t>
        </is>
      </c>
      <c r="G33" s="100" t="n"/>
      <c r="H33" s="2" t="n"/>
      <c r="I33" s="84" t="n"/>
      <c r="J33" s="106" t="n"/>
      <c r="K33" s="257" t="n"/>
      <c r="L33" s="242" t="n"/>
      <c r="M33" s="242" t="n"/>
      <c r="N33" s="242" t="n"/>
      <c r="O33" s="242" t="n"/>
      <c r="P33" s="258" t="n"/>
      <c r="Q33" s="254" t="n"/>
      <c r="R33" s="242" t="n"/>
      <c r="S33" s="254" t="n"/>
      <c r="T33" s="242" t="n"/>
      <c r="U33" s="254" t="n"/>
      <c r="V33" s="242" t="n"/>
      <c r="W33" s="254" t="n"/>
      <c r="X33" s="242" t="n"/>
      <c r="Y33" s="256" t="n"/>
    </row>
    <row r="34" ht="37.2" customHeight="1" thickBot="1">
      <c r="B34" s="31" t="n"/>
      <c r="C34" s="33" t="inlineStr">
        <is>
          <t>Input</t>
        </is>
      </c>
      <c r="D34" s="33" t="inlineStr">
        <is>
          <t>Aluminium primaire</t>
        </is>
      </c>
      <c r="E34" s="43">
        <f>C10/C8</f>
        <v/>
      </c>
      <c r="F34" s="44" t="inlineStr">
        <is>
          <t>Kg</t>
        </is>
      </c>
      <c r="G34" s="100" t="n"/>
      <c r="H34" s="2" t="n"/>
      <c r="I34" s="84" t="n"/>
      <c r="J34" s="106" t="n"/>
      <c r="K34" s="257" t="n"/>
      <c r="L34" s="242" t="n"/>
      <c r="M34" s="242" t="n"/>
      <c r="N34" s="242" t="n"/>
      <c r="O34" s="242" t="n"/>
      <c r="P34" s="258" t="n"/>
      <c r="Q34" s="242" t="n"/>
      <c r="R34" s="242" t="n"/>
      <c r="S34" s="242" t="n"/>
      <c r="T34" s="242" t="n"/>
      <c r="U34" s="242" t="n"/>
      <c r="V34" s="242" t="n"/>
      <c r="W34" s="242" t="n"/>
      <c r="X34" s="242" t="n"/>
      <c r="Y34" s="259" t="n"/>
    </row>
    <row r="35" ht="15" customHeight="1" thickBot="1">
      <c r="B35" s="24" t="inlineStr">
        <is>
          <t>FdV</t>
        </is>
      </c>
      <c r="C35" s="25" t="inlineStr">
        <is>
          <t>Output</t>
        </is>
      </c>
      <c r="D35" s="26" t="inlineStr">
        <is>
          <t>Canette vide utilisée</t>
        </is>
      </c>
      <c r="E35" s="103" t="n">
        <v>1</v>
      </c>
      <c r="F35" s="71" t="inlineStr">
        <is>
          <t>unit</t>
        </is>
      </c>
      <c r="G35" s="99">
        <f>E31/E35</f>
        <v/>
      </c>
      <c r="H35" s="2" t="n"/>
      <c r="I35" s="84" t="n"/>
      <c r="J35" s="106" t="n"/>
      <c r="K35" s="252" t="n"/>
      <c r="L35" s="252" t="n"/>
      <c r="M35" s="252" t="n"/>
      <c r="N35" s="252" t="n"/>
      <c r="O35" s="252" t="n"/>
      <c r="P35" s="253" t="n"/>
      <c r="Q35" s="254" t="n"/>
      <c r="R35" s="255" t="n"/>
      <c r="S35" s="254" t="n"/>
      <c r="T35" s="255" t="n"/>
      <c r="U35" s="254" t="n"/>
      <c r="V35" s="255" t="n"/>
      <c r="W35" s="254" t="n"/>
      <c r="X35" s="255" t="n"/>
      <c r="Y35" s="256" t="n"/>
    </row>
    <row r="36" ht="15" customHeight="1" thickBot="1">
      <c r="B36" s="29" t="n"/>
      <c r="C36" s="22" t="inlineStr">
        <is>
          <t>Input</t>
        </is>
      </c>
      <c r="D36" s="22" t="inlineStr">
        <is>
          <t>Déchet aluminium</t>
        </is>
      </c>
      <c r="E36" s="36">
        <f>C10/C8</f>
        <v/>
      </c>
      <c r="F36" s="40" t="inlineStr">
        <is>
          <t>unit</t>
        </is>
      </c>
      <c r="G36" s="100" t="n"/>
      <c r="H36" s="2" t="n"/>
      <c r="I36" s="84" t="n"/>
      <c r="J36" s="106" t="n"/>
      <c r="K36" s="257" t="n"/>
      <c r="L36" s="242" t="n"/>
      <c r="M36" s="242" t="n"/>
      <c r="N36" s="242" t="n"/>
      <c r="O36" s="242" t="n"/>
      <c r="P36" s="258" t="n"/>
      <c r="Q36" s="254" t="n"/>
      <c r="R36" s="242" t="n"/>
      <c r="S36" s="254" t="n"/>
      <c r="T36" s="242" t="n"/>
      <c r="U36" s="254" t="n"/>
      <c r="V36" s="242" t="n"/>
      <c r="W36" s="254" t="n"/>
      <c r="X36" s="242" t="n"/>
      <c r="Y36" s="256" t="n"/>
    </row>
    <row r="37" ht="15" customHeight="1" thickBot="1">
      <c r="B37" s="91" t="inlineStr">
        <is>
          <t>Eau</t>
        </is>
      </c>
      <c r="C37" s="25" t="inlineStr">
        <is>
          <t>Output</t>
        </is>
      </c>
      <c r="D37" s="26" t="inlineStr">
        <is>
          <t>Eau</t>
        </is>
      </c>
      <c r="E37" s="103" t="n">
        <v>1</v>
      </c>
      <c r="F37" s="71" t="inlineStr">
        <is>
          <t>kg</t>
        </is>
      </c>
      <c r="G37" s="99">
        <f>E29/E37</f>
        <v/>
      </c>
      <c r="H37" s="2" t="n"/>
      <c r="I37" s="84" t="n"/>
      <c r="J37" s="106" t="n"/>
      <c r="K37" s="242" t="n"/>
      <c r="L37" s="243" t="n"/>
      <c r="M37" s="243" t="n"/>
      <c r="N37" s="246" t="n"/>
      <c r="O37" s="243" t="n"/>
      <c r="P37" s="253" t="n"/>
      <c r="Q37" s="254" t="n"/>
      <c r="R37" s="255" t="n"/>
      <c r="S37" s="254" t="n"/>
      <c r="T37" s="255" t="n"/>
      <c r="U37" s="254" t="n"/>
      <c r="V37" s="255" t="n"/>
      <c r="W37" s="254" t="n"/>
      <c r="X37" s="255" t="n"/>
      <c r="Y37" s="256" t="n"/>
    </row>
    <row r="38" ht="15" customHeight="1" thickBot="1">
      <c r="B38" s="41" t="inlineStr">
        <is>
          <t>Sucre de Betrave</t>
        </is>
      </c>
      <c r="C38" s="21" t="inlineStr">
        <is>
          <t>Output</t>
        </is>
      </c>
      <c r="D38" s="22" t="inlineStr">
        <is>
          <t>Sucre de Canne</t>
        </is>
      </c>
      <c r="E38" s="23" t="n">
        <v>1</v>
      </c>
      <c r="F38" s="40" t="inlineStr">
        <is>
          <t>kg</t>
        </is>
      </c>
      <c r="G38" s="99">
        <f>E30/E38</f>
        <v/>
      </c>
      <c r="H38" s="2" t="n"/>
      <c r="I38" s="84" t="n"/>
      <c r="J38" s="106" t="n"/>
      <c r="K38" s="242" t="n"/>
      <c r="L38" s="243" t="n"/>
      <c r="M38" s="243" t="n"/>
      <c r="N38" s="243" t="n"/>
      <c r="O38" s="243" t="n"/>
      <c r="P38" s="253" t="n"/>
      <c r="Q38" s="254" t="n"/>
      <c r="R38" s="255" t="n"/>
      <c r="S38" s="254" t="n"/>
      <c r="T38" s="255" t="n"/>
      <c r="U38" s="254" t="n"/>
      <c r="V38" s="255" t="n"/>
      <c r="W38" s="254" t="n"/>
      <c r="X38" s="255" t="n"/>
      <c r="Y38" s="256" t="n"/>
    </row>
    <row r="39" ht="15" customHeight="1" thickBot="1">
      <c r="B39" s="41" t="n"/>
      <c r="C39" s="21" t="n"/>
      <c r="D39" s="22" t="n"/>
      <c r="E39" s="23" t="n"/>
      <c r="F39" s="40" t="n"/>
      <c r="G39" s="99" t="n"/>
      <c r="H39" s="19" t="n"/>
      <c r="I39" s="206" t="n"/>
      <c r="J39" s="106" t="n"/>
      <c r="L39" s="22" t="n"/>
      <c r="M39" s="22" t="n"/>
      <c r="N39" s="22" t="n"/>
      <c r="O39" s="22" t="n"/>
      <c r="P39" s="202" t="inlineStr">
        <is>
          <t>Tier 2</t>
        </is>
      </c>
      <c r="Q39" s="200" t="n"/>
      <c r="R39" s="16" t="n"/>
      <c r="S39" s="200" t="n"/>
      <c r="T39" s="16" t="n"/>
      <c r="U39" s="200" t="n"/>
      <c r="V39" s="16" t="n"/>
      <c r="W39" s="200" t="n"/>
      <c r="X39" s="16" t="n"/>
      <c r="Y39" s="201" t="n"/>
    </row>
    <row r="40" ht="15" customHeight="1" thickBot="1">
      <c r="B40" s="41" t="inlineStr">
        <is>
          <t>Mise en décharge Al</t>
        </is>
      </c>
      <c r="C40" s="22" t="inlineStr">
        <is>
          <t>Ouptut</t>
        </is>
      </c>
      <c r="D40" s="22" t="inlineStr">
        <is>
          <t>Déchet aluminium</t>
        </is>
      </c>
      <c r="E40" s="23" t="n">
        <v>1</v>
      </c>
      <c r="F40" s="40" t="inlineStr">
        <is>
          <t>kg</t>
        </is>
      </c>
      <c r="G40" s="99" t="n"/>
      <c r="H40" s="154">
        <f>E36/E40</f>
        <v/>
      </c>
      <c r="I40" s="153">
        <f>H40*G32</f>
        <v/>
      </c>
      <c r="J40" s="107">
        <f>E40*I40</f>
        <v/>
      </c>
      <c r="K40" s="247" t="n"/>
      <c r="L40" s="243" t="n"/>
      <c r="M40" s="243" t="n"/>
      <c r="N40" s="246" t="n"/>
      <c r="O40" s="243" t="n"/>
      <c r="P40" s="253" t="n"/>
      <c r="Q40" s="254" t="n"/>
      <c r="R40" s="253" t="n"/>
      <c r="S40" s="254" t="n"/>
      <c r="T40" s="253" t="n"/>
      <c r="U40" s="254" t="n"/>
      <c r="V40" s="253" t="n"/>
      <c r="W40" s="254" t="n"/>
      <c r="X40" s="253" t="n"/>
      <c r="Y40" s="256" t="n"/>
    </row>
    <row r="41" ht="15" customHeight="1" thickBot="1">
      <c r="B41" s="41" t="inlineStr">
        <is>
          <t>Prod. Electricity</t>
        </is>
      </c>
      <c r="C41" s="21" t="inlineStr">
        <is>
          <t>Output</t>
        </is>
      </c>
      <c r="D41" s="22" t="inlineStr">
        <is>
          <t>Electricity</t>
        </is>
      </c>
      <c r="E41" s="23" t="n">
        <v>1</v>
      </c>
      <c r="F41" s="30" t="inlineStr">
        <is>
          <t>kWh</t>
        </is>
      </c>
      <c r="G41" s="104" t="n"/>
      <c r="H41" s="115">
        <f>E33/E41</f>
        <v/>
      </c>
      <c r="I41" s="114">
        <f>H41*G32</f>
        <v/>
      </c>
      <c r="J41" s="107">
        <f>E41*I41</f>
        <v/>
      </c>
      <c r="K41" s="242" t="n"/>
      <c r="L41" s="243" t="n"/>
      <c r="M41" s="243" t="n"/>
      <c r="N41" s="246" t="n"/>
      <c r="O41" s="243" t="n"/>
      <c r="P41" s="253" t="n"/>
      <c r="Q41" s="254" t="n"/>
      <c r="R41" s="253" t="n"/>
      <c r="S41" s="254" t="n"/>
      <c r="T41" s="253" t="n"/>
      <c r="U41" s="254" t="n"/>
      <c r="V41" s="253" t="n"/>
      <c r="W41" s="254" t="n"/>
      <c r="X41" s="253" t="n"/>
      <c r="Y41" s="256" t="n"/>
    </row>
    <row r="42" ht="15" customHeight="1" thickBot="1">
      <c r="B42" s="42" t="inlineStr">
        <is>
          <t>Prod Aluminium primaire</t>
        </is>
      </c>
      <c r="C42" s="33" t="inlineStr">
        <is>
          <t>Output</t>
        </is>
      </c>
      <c r="D42" s="33" t="inlineStr">
        <is>
          <t>Aluminium primaire</t>
        </is>
      </c>
      <c r="E42" s="43" t="n">
        <v>1</v>
      </c>
      <c r="F42" s="44" t="inlineStr">
        <is>
          <t>kg</t>
        </is>
      </c>
      <c r="G42" s="116" t="n"/>
      <c r="H42" s="117">
        <f>E34/E42</f>
        <v/>
      </c>
      <c r="I42" s="118">
        <f>H42*G32</f>
        <v/>
      </c>
      <c r="J42" s="119">
        <f>E42*I42</f>
        <v/>
      </c>
      <c r="K42" s="242" t="n"/>
      <c r="L42" s="243" t="n"/>
      <c r="M42" s="243" t="n"/>
      <c r="N42" s="243" t="n"/>
      <c r="O42" s="243" t="n"/>
      <c r="P42" s="253" t="n"/>
      <c r="Q42" s="260" t="n"/>
      <c r="R42" s="253" t="n"/>
      <c r="S42" s="260" t="n"/>
      <c r="T42" s="253" t="n"/>
      <c r="U42" s="260" t="n"/>
      <c r="V42" s="253" t="n"/>
      <c r="W42" s="260" t="n"/>
      <c r="X42" s="253" t="n"/>
      <c r="Y42" s="261" t="n"/>
    </row>
    <row r="43" ht="15" customHeight="1" thickBot="1">
      <c r="B43" s="113" t="inlineStr">
        <is>
          <t>TOTAL</t>
        </is>
      </c>
      <c r="C43" s="102" t="n"/>
      <c r="D43" s="102" t="n"/>
      <c r="E43" s="102" t="n"/>
      <c r="F43" s="105" t="n"/>
      <c r="G43" s="101" t="n"/>
      <c r="H43" s="102" t="n"/>
      <c r="I43" s="105" t="n"/>
      <c r="J43" s="108" t="n"/>
      <c r="K43" s="262" t="n"/>
      <c r="L43" s="262" t="n"/>
      <c r="M43" s="262" t="n"/>
      <c r="N43" s="262" t="n"/>
      <c r="O43" s="262" t="n"/>
      <c r="P43" s="263">
        <f>SUM(P40:P42)</f>
        <v/>
      </c>
      <c r="Q43" s="264" t="n"/>
      <c r="R43" s="265">
        <f>SUM(R40:R42)</f>
        <v/>
      </c>
      <c r="S43" s="264" t="n"/>
      <c r="T43" s="265">
        <f>SUM(T40:T42)</f>
        <v/>
      </c>
      <c r="U43" s="264" t="n"/>
      <c r="V43" s="265">
        <f>SUM(V40:V42)</f>
        <v/>
      </c>
      <c r="W43" s="264" t="n"/>
      <c r="X43" s="265">
        <f>SUM(X40:X42)</f>
        <v/>
      </c>
      <c r="Y43" s="266" t="n"/>
    </row>
    <row r="47" ht="36.6" customHeight="1">
      <c r="A47" s="237" t="inlineStr">
        <is>
          <t>Partie 2</t>
        </is>
      </c>
    </row>
    <row r="49">
      <c r="B49" s="110" t="inlineStr">
        <is>
          <t>Considérons maintenant que :</t>
        </is>
      </c>
      <c r="C49" t="inlineStr">
        <is>
          <t>Production cannette</t>
        </is>
      </c>
      <c r="E49" t="inlineStr">
        <is>
          <t>FdV cannette</t>
        </is>
      </c>
    </row>
    <row r="50">
      <c r="B50" s="111" t="n"/>
      <c r="C50" s="112" t="n">
        <v>0.6</v>
      </c>
      <c r="D50" t="inlineStr">
        <is>
          <t>primaire</t>
        </is>
      </c>
      <c r="E50" s="112" t="n">
        <v>0.8</v>
      </c>
      <c r="F50" t="inlineStr">
        <is>
          <t>collecté et recyclé</t>
        </is>
      </c>
    </row>
    <row r="51">
      <c r="B51" s="111" t="n"/>
      <c r="C51" s="112" t="n">
        <v>0.4</v>
      </c>
      <c r="D51" t="inlineStr">
        <is>
          <t>recyclé</t>
        </is>
      </c>
      <c r="E51" s="112">
        <f>1-E50</f>
        <v/>
      </c>
      <c r="F51" t="inlineStr">
        <is>
          <t>mis en décharge</t>
        </is>
      </c>
    </row>
    <row r="52">
      <c r="A52" s="111" t="n"/>
      <c r="V52" s="231" t="n"/>
    </row>
    <row r="53">
      <c r="E53" s="36" t="n"/>
    </row>
    <row r="54">
      <c r="B54" s="88" t="inlineStr">
        <is>
          <t>2.2 Utiliser la méthode « contenu en recyclé » (« cutoff ») pour construire l’arbre de procédés</t>
        </is>
      </c>
    </row>
    <row r="67">
      <c r="B67" s="88" t="n"/>
    </row>
    <row r="68">
      <c r="B68" s="88" t="n"/>
    </row>
    <row r="69">
      <c r="B69" s="89" t="n"/>
    </row>
    <row r="71">
      <c r="B71" s="88" t="n"/>
    </row>
    <row r="73" ht="15" customHeight="1"/>
    <row r="74" ht="15" customHeight="1"/>
    <row r="75" ht="17.4" customHeight="1"/>
    <row r="79" ht="15" customHeight="1" thickBot="1"/>
    <row r="80" ht="15" customHeight="1" thickBot="1">
      <c r="B80" s="55" t="inlineStr">
        <is>
          <t>Life cycle inventory (intermediary flows)</t>
        </is>
      </c>
      <c r="C80" s="122" t="n"/>
      <c r="D80" s="122" t="n"/>
      <c r="E80" s="122" t="n"/>
      <c r="F80" s="122" t="n"/>
      <c r="G80" s="122" t="n"/>
      <c r="H80" s="122" t="n"/>
      <c r="I80" s="122" t="n"/>
      <c r="J80" s="122" t="n"/>
      <c r="K80" s="57" t="inlineStr">
        <is>
          <t>Life Cycle Inventory (elementary flow, CO2)</t>
        </is>
      </c>
      <c r="L80" s="122" t="n"/>
      <c r="M80" s="122" t="n"/>
      <c r="N80" s="122" t="n"/>
      <c r="O80" s="123" t="n"/>
    </row>
    <row r="81" ht="101.4" customHeight="1" thickBot="1">
      <c r="B81" s="170" t="inlineStr">
        <is>
          <t>Unit processes</t>
        </is>
      </c>
      <c r="C81" s="131" t="n"/>
      <c r="D81" s="131" t="n"/>
      <c r="E81" s="131" t="n"/>
      <c r="F81" s="132" t="inlineStr">
        <is>
          <t>unit and</t>
        </is>
      </c>
      <c r="G81" s="126" t="n"/>
      <c r="H81" s="96" t="inlineStr">
        <is>
          <t>Scaling factors [-] to:</t>
        </is>
      </c>
      <c r="I81" s="127" t="n"/>
      <c r="J81" s="174" t="inlineStr">
        <is>
          <t>Intermediary flows / FU</t>
        </is>
      </c>
      <c r="K81" s="161" t="n"/>
      <c r="P81" s="208" t="inlineStr">
        <is>
          <t>Life cycle impact scores / FU &amp; Contribution analysis</t>
        </is>
      </c>
      <c r="Q81" s="183" t="n"/>
      <c r="R81" s="183" t="n"/>
      <c r="S81" s="183" t="n"/>
      <c r="T81" s="183" t="n"/>
      <c r="U81" s="183" t="n"/>
      <c r="V81" s="183" t="n"/>
      <c r="W81" s="183" t="n"/>
      <c r="X81" s="183" t="n"/>
      <c r="Y81" s="184" t="n"/>
    </row>
    <row r="82" ht="29.4" customHeight="1" thickBot="1">
      <c r="B82" s="129" t="n"/>
      <c r="C82" s="128" t="inlineStr">
        <is>
          <t>Flow type</t>
        </is>
      </c>
      <c r="D82" s="128" t="inlineStr">
        <is>
          <t>Flow name</t>
        </is>
      </c>
      <c r="E82" s="128" t="inlineStr">
        <is>
          <t>Quantity</t>
        </is>
      </c>
      <c r="F82" s="93" t="inlineStr">
        <is>
          <t>dimensions</t>
        </is>
      </c>
      <c r="G82" s="129" t="n"/>
      <c r="H82" s="128" t="n"/>
      <c r="I82" s="130" t="inlineStr">
        <is>
          <t>FU</t>
        </is>
      </c>
      <c r="J82" s="175" t="n"/>
      <c r="K82" s="188" t="inlineStr">
        <is>
          <t>CC</t>
        </is>
      </c>
      <c r="L82" s="189" t="inlineStr">
        <is>
          <t>EQ_r</t>
        </is>
      </c>
      <c r="M82" s="189" t="inlineStr">
        <is>
          <t>FNEU</t>
        </is>
      </c>
      <c r="N82" s="189" t="inlineStr">
        <is>
          <t>HH_r</t>
        </is>
      </c>
      <c r="O82" s="207" t="inlineStr">
        <is>
          <t>WS</t>
        </is>
      </c>
      <c r="P82" s="208" t="inlineStr">
        <is>
          <t>kgCO2/unit</t>
        </is>
      </c>
      <c r="Q82" s="183" t="inlineStr">
        <is>
          <t>%</t>
        </is>
      </c>
      <c r="R82" s="183" t="inlineStr">
        <is>
          <t>PDF*m2*yr</t>
        </is>
      </c>
      <c r="S82" s="183" t="inlineStr">
        <is>
          <t>%</t>
        </is>
      </c>
      <c r="T82" s="183" t="inlineStr">
        <is>
          <t>MJ</t>
        </is>
      </c>
      <c r="U82" s="183" t="inlineStr">
        <is>
          <t>%</t>
        </is>
      </c>
      <c r="V82" s="183" t="inlineStr">
        <is>
          <t>DALY</t>
        </is>
      </c>
      <c r="W82" s="183" t="inlineStr">
        <is>
          <t>%</t>
        </is>
      </c>
      <c r="X82" s="183" t="inlineStr">
        <is>
          <t>m3e</t>
        </is>
      </c>
      <c r="Y82" s="184" t="inlineStr">
        <is>
          <t>%</t>
        </is>
      </c>
    </row>
    <row r="83" ht="29.4" customHeight="1" thickBot="1">
      <c r="B83" s="162" t="inlineStr">
        <is>
          <t>Disaggregated unit processes (foreground)</t>
        </is>
      </c>
      <c r="C83" s="171" t="n"/>
      <c r="D83" s="171" t="n"/>
      <c r="E83" s="171" t="n"/>
      <c r="F83" s="172" t="n"/>
      <c r="G83" s="173" t="inlineStr">
        <is>
          <t>Tier 0-1</t>
        </is>
      </c>
      <c r="H83" s="134" t="inlineStr">
        <is>
          <t>Tier 1-2</t>
        </is>
      </c>
      <c r="I83" s="149" t="inlineStr">
        <is>
          <t>Tier n-0</t>
        </is>
      </c>
      <c r="J83" s="176" t="n"/>
      <c r="K83" s="191" t="inlineStr">
        <is>
          <t>kgCO2e/unit</t>
        </is>
      </c>
      <c r="L83" s="19" t="inlineStr">
        <is>
          <t>PDF*m2*yr/unit</t>
        </is>
      </c>
      <c r="M83" s="19" t="inlineStr">
        <is>
          <t>MJ/unit</t>
        </is>
      </c>
      <c r="N83" s="19" t="inlineStr">
        <is>
          <t>DALY/unit</t>
        </is>
      </c>
      <c r="O83" s="206" t="inlineStr">
        <is>
          <t>m3e/unit</t>
        </is>
      </c>
      <c r="P83" s="210" t="inlineStr">
        <is>
          <t>Tier1</t>
        </is>
      </c>
      <c r="Q83" s="232" t="n"/>
      <c r="R83" s="232" t="n"/>
      <c r="S83" s="232" t="n"/>
      <c r="T83" s="232" t="n"/>
      <c r="U83" s="232" t="n"/>
      <c r="V83" s="232" t="n"/>
      <c r="W83" s="232" t="n"/>
      <c r="X83" s="232" t="n"/>
      <c r="Y83" s="211" t="n"/>
    </row>
    <row r="84" ht="15" customHeight="1" thickBot="1">
      <c r="B84" s="179" t="n"/>
      <c r="C84" s="166" t="inlineStr">
        <is>
          <t>Output (FU)</t>
        </is>
      </c>
      <c r="D84" s="155" t="inlineStr">
        <is>
          <t>Canette de thé froid</t>
        </is>
      </c>
      <c r="E84" s="167" t="n">
        <v>1</v>
      </c>
      <c r="F84" s="168" t="inlineStr">
        <is>
          <t>unit</t>
        </is>
      </c>
      <c r="G84" s="169" t="n"/>
      <c r="H84" s="124" t="n"/>
      <c r="I84" s="125" t="n"/>
      <c r="J84" s="218" t="n"/>
      <c r="K84" s="225" t="n"/>
      <c r="L84" s="72" t="n"/>
      <c r="M84" s="72" t="n"/>
      <c r="N84" s="72" t="n"/>
      <c r="O84" s="87" t="n"/>
      <c r="P84" s="16">
        <f>SUM(P88:P96)</f>
        <v/>
      </c>
      <c r="Q84" s="200">
        <f>P84/P$84</f>
        <v/>
      </c>
      <c r="R84" s="16">
        <f>SUM(R88:R96)</f>
        <v/>
      </c>
      <c r="S84" s="200">
        <f>R84/R$84</f>
        <v/>
      </c>
      <c r="T84" s="16">
        <f>SUM(T88:T96)</f>
        <v/>
      </c>
      <c r="U84" s="200">
        <f>T84/T$84</f>
        <v/>
      </c>
      <c r="V84" s="16">
        <f>SUM(V88:V96)</f>
        <v/>
      </c>
      <c r="W84" s="200">
        <f>V84/V$84</f>
        <v/>
      </c>
      <c r="X84" s="16">
        <f>SUM(X88:X96)</f>
        <v/>
      </c>
      <c r="Y84" s="201">
        <f>X84/X$84</f>
        <v/>
      </c>
    </row>
    <row r="85" ht="15" customHeight="1" thickBot="1">
      <c r="B85" s="179" t="n"/>
      <c r="C85" s="128" t="inlineStr">
        <is>
          <t>Input</t>
        </is>
      </c>
      <c r="D85" s="128" t="inlineStr">
        <is>
          <t>Eau</t>
        </is>
      </c>
      <c r="E85" s="16" t="n">
        <v>0.33</v>
      </c>
      <c r="F85" s="133" t="inlineStr">
        <is>
          <t>Kg</t>
        </is>
      </c>
      <c r="G85" s="129" t="n"/>
      <c r="H85" s="128" t="n"/>
      <c r="I85" s="133" t="n"/>
      <c r="J85" s="219" t="n"/>
      <c r="K85" s="186" t="n"/>
      <c r="O85" s="47" t="n"/>
      <c r="Q85" s="200" t="n"/>
      <c r="S85" s="200" t="n"/>
      <c r="U85" s="200" t="n"/>
      <c r="W85" s="200" t="n"/>
      <c r="Y85" s="201" t="n"/>
    </row>
    <row r="86" ht="15" customHeight="1" thickBot="1">
      <c r="B86" s="179" t="n"/>
      <c r="C86" s="128" t="inlineStr">
        <is>
          <t>Input</t>
        </is>
      </c>
      <c r="D86" s="128" t="inlineStr">
        <is>
          <t>Sucre de canne</t>
        </is>
      </c>
      <c r="E86" s="16" t="n">
        <v>0.03</v>
      </c>
      <c r="F86" s="133" t="inlineStr">
        <is>
          <t>Kg</t>
        </is>
      </c>
      <c r="G86" s="129" t="n"/>
      <c r="H86" s="128" t="n"/>
      <c r="I86" s="133" t="n"/>
      <c r="J86" s="219" t="n"/>
      <c r="K86" s="186" t="n"/>
      <c r="O86" s="47" t="n"/>
      <c r="Q86" s="200" t="n"/>
      <c r="S86" s="200" t="n"/>
      <c r="U86" s="200" t="n"/>
      <c r="W86" s="200" t="n"/>
      <c r="Y86" s="201" t="n"/>
    </row>
    <row r="87" ht="15" customHeight="1" thickBot="1">
      <c r="B87" s="180" t="n"/>
      <c r="C87" s="49" t="inlineStr">
        <is>
          <t>Input</t>
        </is>
      </c>
      <c r="D87" s="134" t="inlineStr">
        <is>
          <t>EoL</t>
        </is>
      </c>
      <c r="E87" s="90" t="n">
        <v>1</v>
      </c>
      <c r="F87" s="135" t="inlineStr">
        <is>
          <t>unit</t>
        </is>
      </c>
      <c r="G87" s="129" t="n"/>
      <c r="H87" s="128" t="n"/>
      <c r="I87" s="133" t="n"/>
      <c r="J87" s="219" t="n"/>
      <c r="K87" s="186" t="n"/>
      <c r="O87" s="47" t="n"/>
      <c r="P87" s="214" t="inlineStr">
        <is>
          <t>Tier 1</t>
        </is>
      </c>
      <c r="Q87" s="200" t="n"/>
      <c r="S87" s="200" t="n"/>
      <c r="U87" s="200" t="n"/>
      <c r="W87" s="200" t="n"/>
      <c r="Y87" s="201" t="n"/>
    </row>
    <row r="88" ht="15" customHeight="1" thickBot="1">
      <c r="B88" s="136" t="inlineStr">
        <is>
          <t>Canette Vide</t>
        </is>
      </c>
      <c r="C88" s="137" t="inlineStr">
        <is>
          <t>Output</t>
        </is>
      </c>
      <c r="D88" s="131" t="inlineStr">
        <is>
          <t>Canette vide</t>
        </is>
      </c>
      <c r="E88" s="138" t="n">
        <v>1</v>
      </c>
      <c r="F88" s="139" t="inlineStr">
        <is>
          <t>unit</t>
        </is>
      </c>
      <c r="G88" s="140">
        <f>E84/E88</f>
        <v/>
      </c>
      <c r="H88" s="128" t="n"/>
      <c r="I88" s="133" t="n"/>
      <c r="J88" s="219" t="n"/>
      <c r="K88" s="270" t="n"/>
      <c r="L88" s="252" t="n"/>
      <c r="M88" s="252" t="n"/>
      <c r="N88" s="252" t="n"/>
      <c r="O88" s="271" t="n"/>
      <c r="P88" s="267" t="n"/>
      <c r="Q88" s="268" t="n"/>
      <c r="R88" s="267" t="n"/>
      <c r="S88" s="268" t="n"/>
      <c r="T88" s="267" t="n"/>
      <c r="U88" s="268" t="n"/>
      <c r="V88" s="267" t="n"/>
      <c r="W88" s="268" t="n"/>
      <c r="X88" s="267" t="n"/>
      <c r="Y88" s="269" t="n"/>
    </row>
    <row r="89" ht="15" customHeight="1" thickBot="1">
      <c r="B89" s="141" t="n"/>
      <c r="C89" t="inlineStr">
        <is>
          <t>Input</t>
        </is>
      </c>
      <c r="D89" t="inlineStr">
        <is>
          <t>Electricité</t>
        </is>
      </c>
      <c r="E89" s="142">
        <f>C11</f>
        <v/>
      </c>
      <c r="F89" s="47" t="inlineStr">
        <is>
          <t>KWh</t>
        </is>
      </c>
      <c r="G89" s="143" t="n"/>
      <c r="H89" s="128" t="n"/>
      <c r="I89" s="133" t="n"/>
      <c r="J89" s="219" t="n"/>
      <c r="K89" s="272" t="n"/>
      <c r="L89" s="242" t="n"/>
      <c r="M89" s="242" t="n"/>
      <c r="N89" s="242" t="n"/>
      <c r="O89" s="259" t="n"/>
      <c r="P89" s="242" t="n"/>
      <c r="Q89" s="254" t="n"/>
      <c r="R89" s="242" t="n"/>
      <c r="S89" s="254" t="n"/>
      <c r="T89" s="242" t="n"/>
      <c r="U89" s="254" t="n"/>
      <c r="V89" s="242" t="n"/>
      <c r="W89" s="254" t="n"/>
      <c r="X89" s="242" t="n"/>
      <c r="Y89" s="256" t="n"/>
    </row>
    <row r="90" ht="15" customHeight="1" thickBot="1">
      <c r="B90" s="141" t="n"/>
      <c r="C90" t="inlineStr">
        <is>
          <t>Input</t>
        </is>
      </c>
      <c r="D90" t="inlineStr">
        <is>
          <t>Aluminium recyclé</t>
        </is>
      </c>
      <c r="E90" s="142">
        <f>C10/C8*C51</f>
        <v/>
      </c>
      <c r="F90" s="47" t="inlineStr">
        <is>
          <t>kg</t>
        </is>
      </c>
      <c r="G90" s="143" t="n"/>
      <c r="H90" s="128" t="n"/>
      <c r="I90" s="133" t="n"/>
      <c r="J90" s="219" t="n"/>
      <c r="K90" s="272" t="n"/>
      <c r="L90" s="242" t="n"/>
      <c r="M90" s="242" t="n"/>
      <c r="N90" s="242" t="n"/>
      <c r="O90" s="259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59" t="n"/>
    </row>
    <row r="91" ht="15" customHeight="1" thickBot="1">
      <c r="B91" s="144" t="n"/>
      <c r="C91" s="49" t="inlineStr">
        <is>
          <t>Input</t>
        </is>
      </c>
      <c r="D91" s="49" t="inlineStr">
        <is>
          <t>Aluminium primaire</t>
        </is>
      </c>
      <c r="E91" s="145">
        <f>C10/C8*C50</f>
        <v/>
      </c>
      <c r="F91" s="50" t="inlineStr">
        <is>
          <t>Kg</t>
        </is>
      </c>
      <c r="G91" s="143" t="n"/>
      <c r="H91" s="128" t="n"/>
      <c r="I91" s="133" t="n"/>
      <c r="J91" s="219" t="n"/>
      <c r="K91" s="258" t="n"/>
      <c r="L91" s="242" t="n"/>
      <c r="M91" s="242" t="n"/>
      <c r="N91" s="242" t="n"/>
      <c r="O91" s="259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59" t="n"/>
    </row>
    <row r="92" ht="15" customHeight="1" thickBot="1">
      <c r="B92" s="24" t="inlineStr">
        <is>
          <t>FdV</t>
        </is>
      </c>
      <c r="C92" s="25" t="inlineStr">
        <is>
          <t>Output</t>
        </is>
      </c>
      <c r="D92" s="26" t="inlineStr">
        <is>
          <t>Canette vide utilisée</t>
        </is>
      </c>
      <c r="E92" s="146" t="n">
        <v>1</v>
      </c>
      <c r="F92" s="87" t="inlineStr">
        <is>
          <t>unit</t>
        </is>
      </c>
      <c r="G92" s="99">
        <f>E84/E92</f>
        <v/>
      </c>
      <c r="H92" s="2" t="n"/>
      <c r="I92" s="84" t="n"/>
      <c r="J92" s="220" t="n"/>
      <c r="K92" s="270" t="n"/>
      <c r="L92" s="252" t="n"/>
      <c r="M92" s="252" t="n"/>
      <c r="N92" s="252" t="n"/>
      <c r="O92" s="271" t="n"/>
      <c r="P92" s="255" t="n"/>
      <c r="Q92" s="254" t="n"/>
      <c r="R92" s="255" t="n"/>
      <c r="S92" s="254" t="n"/>
      <c r="T92" s="255" t="n"/>
      <c r="U92" s="254" t="n"/>
      <c r="V92" s="255" t="n"/>
      <c r="W92" s="254" t="n"/>
      <c r="X92" s="255" t="n"/>
      <c r="Y92" s="256" t="n"/>
    </row>
    <row r="93" ht="15" customHeight="1" thickBot="1">
      <c r="B93" s="29" t="n"/>
      <c r="C93" s="22" t="inlineStr">
        <is>
          <t>Input</t>
        </is>
      </c>
      <c r="D93" s="22" t="inlineStr">
        <is>
          <t>Déchet aluminium</t>
        </is>
      </c>
      <c r="E93" s="142">
        <f>C10/C8*E51</f>
        <v/>
      </c>
      <c r="F93" s="47" t="inlineStr">
        <is>
          <t>unit</t>
        </is>
      </c>
      <c r="G93" s="100" t="n"/>
      <c r="H93" s="2" t="n"/>
      <c r="I93" s="84" t="n"/>
      <c r="J93" s="220" t="n"/>
      <c r="K93" s="272" t="n"/>
      <c r="L93" s="242" t="n"/>
      <c r="M93" s="242" t="n"/>
      <c r="N93" s="242" t="n"/>
      <c r="O93" s="259" t="n"/>
      <c r="P93" s="242" t="n"/>
      <c r="Q93" s="254" t="n"/>
      <c r="R93" s="242" t="n"/>
      <c r="S93" s="254" t="n"/>
      <c r="T93" s="242" t="n"/>
      <c r="U93" s="254" t="n"/>
      <c r="V93" s="242" t="n"/>
      <c r="W93" s="254" t="n"/>
      <c r="X93" s="242" t="n"/>
      <c r="Y93" s="256" t="n"/>
    </row>
    <row r="94" ht="15" customHeight="1" thickBot="1">
      <c r="B94" s="29" t="n"/>
      <c r="C94" s="22" t="inlineStr">
        <is>
          <t>Input</t>
        </is>
      </c>
      <c r="D94" s="22" t="inlineStr">
        <is>
          <t>Recyclage Al</t>
        </is>
      </c>
      <c r="E94" s="142" t="n">
        <v>0</v>
      </c>
      <c r="F94" s="47" t="inlineStr">
        <is>
          <t>unit</t>
        </is>
      </c>
      <c r="G94" s="100" t="n"/>
      <c r="H94" s="2" t="n"/>
      <c r="I94" s="84" t="n"/>
      <c r="J94" s="220" t="n"/>
      <c r="K94" s="258" t="n"/>
      <c r="L94" s="242" t="n"/>
      <c r="M94" s="242" t="n"/>
      <c r="N94" s="242" t="n"/>
      <c r="O94" s="259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59" t="n"/>
    </row>
    <row r="95" ht="15" customHeight="1" thickBot="1">
      <c r="B95" s="91" t="inlineStr">
        <is>
          <t>Eau</t>
        </is>
      </c>
      <c r="C95" s="25" t="inlineStr">
        <is>
          <t>Output</t>
        </is>
      </c>
      <c r="D95" s="26" t="inlineStr">
        <is>
          <t>Eau</t>
        </is>
      </c>
      <c r="E95" s="146" t="n">
        <v>1</v>
      </c>
      <c r="F95" s="87" t="inlineStr">
        <is>
          <t>kg</t>
        </is>
      </c>
      <c r="G95" s="99">
        <f>E85/E95</f>
        <v/>
      </c>
      <c r="H95" s="2" t="n"/>
      <c r="I95" s="84" t="n"/>
      <c r="J95" s="220" t="n"/>
      <c r="K95" s="258" t="n"/>
      <c r="L95" s="243" t="n"/>
      <c r="M95" s="243" t="n"/>
      <c r="N95" s="246" t="n"/>
      <c r="O95" s="273" t="n"/>
      <c r="P95" s="255" t="n"/>
      <c r="Q95" s="254" t="n"/>
      <c r="R95" s="255" t="n"/>
      <c r="S95" s="254" t="n"/>
      <c r="T95" s="255" t="n"/>
      <c r="U95" s="254" t="n"/>
      <c r="V95" s="255" t="n"/>
      <c r="W95" s="254" t="n"/>
      <c r="X95" s="255" t="n"/>
      <c r="Y95" s="256" t="n"/>
    </row>
    <row r="96" ht="15" customHeight="1" thickBot="1">
      <c r="B96" s="41" t="inlineStr">
        <is>
          <t>Sucre de Canne</t>
        </is>
      </c>
      <c r="C96" s="21" t="inlineStr">
        <is>
          <t>Output</t>
        </is>
      </c>
      <c r="D96" s="22" t="inlineStr">
        <is>
          <t>Sucre de Canne</t>
        </is>
      </c>
      <c r="E96" s="147" t="n">
        <v>1</v>
      </c>
      <c r="F96" s="47" t="inlineStr">
        <is>
          <t>kg</t>
        </is>
      </c>
      <c r="G96" s="99">
        <f>E86/E96</f>
        <v/>
      </c>
      <c r="H96" s="2" t="n"/>
      <c r="I96" s="84" t="n"/>
      <c r="J96" s="220" t="n"/>
      <c r="K96" s="258" t="n"/>
      <c r="L96" s="243" t="n"/>
      <c r="M96" s="243" t="n"/>
      <c r="N96" s="243" t="n"/>
      <c r="O96" s="273" t="n"/>
      <c r="P96" s="249" t="n"/>
      <c r="Q96" s="260" t="n"/>
      <c r="R96" s="249" t="n"/>
      <c r="S96" s="260" t="n"/>
      <c r="T96" s="249" t="n"/>
      <c r="U96" s="260" t="n"/>
      <c r="V96" s="249" t="n"/>
      <c r="W96" s="260" t="n"/>
      <c r="X96" s="249" t="n"/>
      <c r="Y96" s="261" t="n"/>
    </row>
    <row r="97" ht="15" customHeight="1" thickBot="1">
      <c r="B97" s="41" t="n"/>
      <c r="C97" s="21" t="n"/>
      <c r="D97" s="22" t="n"/>
      <c r="E97" s="147" t="n"/>
      <c r="F97" s="47" t="n"/>
      <c r="G97" s="99" t="n"/>
      <c r="H97" s="19" t="n"/>
      <c r="I97" s="206" t="n"/>
      <c r="J97" s="220" t="n"/>
      <c r="K97" s="258" t="n"/>
      <c r="L97" s="243" t="n"/>
      <c r="M97" s="243" t="n"/>
      <c r="N97" s="243" t="n"/>
      <c r="O97" s="273" t="n"/>
      <c r="P97" s="214" t="inlineStr">
        <is>
          <t>Tier 2</t>
        </is>
      </c>
      <c r="Q97" s="200" t="n"/>
      <c r="R97" s="16" t="n"/>
      <c r="S97" s="200" t="n"/>
      <c r="T97" s="16" t="n"/>
      <c r="U97" s="200" t="n"/>
      <c r="V97" s="16" t="n"/>
      <c r="W97" s="200" t="n"/>
      <c r="X97" s="16" t="n"/>
      <c r="Y97" s="201" t="n"/>
    </row>
    <row r="98" ht="15" customHeight="1" thickBot="1">
      <c r="B98" s="41" t="inlineStr">
        <is>
          <t>Mise en décharge Al</t>
        </is>
      </c>
      <c r="C98" s="22" t="inlineStr">
        <is>
          <t>Ouptut</t>
        </is>
      </c>
      <c r="D98" s="22" t="inlineStr">
        <is>
          <t>Déchet aluminium</t>
        </is>
      </c>
      <c r="E98" s="147" t="n">
        <v>1</v>
      </c>
      <c r="F98" s="47" t="inlineStr">
        <is>
          <t>kg</t>
        </is>
      </c>
      <c r="G98" s="99" t="n"/>
      <c r="H98" s="154">
        <f>E93/E98</f>
        <v/>
      </c>
      <c r="I98" s="153">
        <f>H98*G88</f>
        <v/>
      </c>
      <c r="J98" s="221">
        <f>E98*I98</f>
        <v/>
      </c>
      <c r="K98" s="274" t="n"/>
      <c r="L98" s="243" t="n"/>
      <c r="M98" s="243" t="n"/>
      <c r="N98" s="246" t="n"/>
      <c r="O98" s="273" t="n"/>
      <c r="P98" s="267" t="n"/>
      <c r="Q98" s="268" t="n"/>
      <c r="R98" s="267" t="n"/>
      <c r="S98" s="268" t="n"/>
      <c r="T98" s="267" t="n"/>
      <c r="U98" s="268" t="n"/>
      <c r="V98" s="267" t="n"/>
      <c r="W98" s="268" t="n"/>
      <c r="X98" s="267" t="n"/>
      <c r="Y98" s="269" t="n"/>
    </row>
    <row r="99" ht="15" customHeight="1" thickBot="1">
      <c r="B99" s="41" t="inlineStr">
        <is>
          <t>Prod. Electricity</t>
        </is>
      </c>
      <c r="C99" s="21" t="inlineStr">
        <is>
          <t>Output</t>
        </is>
      </c>
      <c r="D99" s="22" t="inlineStr">
        <is>
          <t>Electricity</t>
        </is>
      </c>
      <c r="E99" s="147" t="n">
        <v>1</v>
      </c>
      <c r="F99" s="148" t="inlineStr">
        <is>
          <t>kWh</t>
        </is>
      </c>
      <c r="G99" s="104" t="n"/>
      <c r="H99" s="115">
        <f>E89/E99</f>
        <v/>
      </c>
      <c r="I99" s="114">
        <f>H99*G88</f>
        <v/>
      </c>
      <c r="J99" s="221">
        <f>E99*I99</f>
        <v/>
      </c>
      <c r="K99" s="258" t="n"/>
      <c r="L99" s="243" t="n"/>
      <c r="M99" s="243" t="n"/>
      <c r="N99" s="246" t="n"/>
      <c r="O99" s="273" t="n"/>
      <c r="P99" s="255" t="n"/>
      <c r="Q99" s="254" t="n"/>
      <c r="R99" s="255" t="n"/>
      <c r="S99" s="254" t="n"/>
      <c r="T99" s="255" t="n"/>
      <c r="U99" s="254" t="n"/>
      <c r="V99" s="255" t="n"/>
      <c r="W99" s="254" t="n"/>
      <c r="X99" s="255" t="n"/>
      <c r="Y99" s="256" t="n"/>
    </row>
    <row r="100" ht="15" customHeight="1" thickBot="1">
      <c r="B100" s="41" t="inlineStr">
        <is>
          <t>Recyclage Aluminium</t>
        </is>
      </c>
      <c r="C100" s="21" t="inlineStr">
        <is>
          <t>Output</t>
        </is>
      </c>
      <c r="D100" s="22" t="inlineStr">
        <is>
          <t>Aluminium recyclé</t>
        </is>
      </c>
      <c r="E100" s="147" t="n">
        <v>1</v>
      </c>
      <c r="F100" s="148" t="inlineStr">
        <is>
          <t>kg</t>
        </is>
      </c>
      <c r="G100" s="121" t="n"/>
      <c r="H100" s="115">
        <f>E90/E100</f>
        <v/>
      </c>
      <c r="I100" s="114">
        <f>H100*G88</f>
        <v/>
      </c>
      <c r="J100" s="221">
        <f>E100*I100</f>
        <v/>
      </c>
      <c r="K100" s="258" t="n"/>
      <c r="L100" s="243" t="n"/>
      <c r="M100" s="243" t="n"/>
      <c r="N100" s="243" t="n"/>
      <c r="O100" s="273" t="n"/>
      <c r="P100" s="255" t="n"/>
      <c r="Q100" s="254" t="n"/>
      <c r="R100" s="255" t="n"/>
      <c r="S100" s="254" t="n"/>
      <c r="T100" s="255" t="n"/>
      <c r="U100" s="254" t="n"/>
      <c r="V100" s="255" t="n"/>
      <c r="W100" s="254" t="n"/>
      <c r="X100" s="255" t="n"/>
      <c r="Y100" s="256" t="n"/>
    </row>
    <row r="101" ht="15" customHeight="1" thickBot="1">
      <c r="B101" s="41" t="inlineStr">
        <is>
          <t>Recyclage Aluminium</t>
        </is>
      </c>
      <c r="C101" s="21" t="inlineStr">
        <is>
          <t>Output</t>
        </is>
      </c>
      <c r="D101" s="22" t="inlineStr">
        <is>
          <t>Déchet aluminium trié</t>
        </is>
      </c>
      <c r="E101" s="147" t="n">
        <v>1</v>
      </c>
      <c r="F101" s="148" t="inlineStr">
        <is>
          <t>kg</t>
        </is>
      </c>
      <c r="G101" s="121" t="n"/>
      <c r="H101" s="115">
        <f>E94/E101</f>
        <v/>
      </c>
      <c r="I101" s="114">
        <f>H101*G88</f>
        <v/>
      </c>
      <c r="J101" s="221">
        <f>E101*I101</f>
        <v/>
      </c>
      <c r="K101" s="258" t="n"/>
      <c r="L101" s="243" t="n"/>
      <c r="M101" s="243" t="n"/>
      <c r="N101" s="243" t="n"/>
      <c r="O101" s="273" t="n"/>
      <c r="P101" s="255" t="n"/>
      <c r="Q101" s="254" t="n"/>
      <c r="R101" s="255" t="n"/>
      <c r="S101" s="254" t="n"/>
      <c r="T101" s="255" t="n"/>
      <c r="U101" s="254" t="n"/>
      <c r="V101" s="255" t="n"/>
      <c r="W101" s="254" t="n"/>
      <c r="X101" s="255" t="n"/>
      <c r="Y101" s="256" t="n"/>
    </row>
    <row r="102" ht="15" customHeight="1" thickBot="1">
      <c r="B102" s="42" t="inlineStr">
        <is>
          <t>Prod Aluminium primaire</t>
        </is>
      </c>
      <c r="C102" s="33" t="inlineStr">
        <is>
          <t>Output</t>
        </is>
      </c>
      <c r="D102" s="33" t="inlineStr">
        <is>
          <t>Aluminium primaire</t>
        </is>
      </c>
      <c r="E102" s="145" t="n">
        <v>1</v>
      </c>
      <c r="F102" s="50" t="inlineStr">
        <is>
          <t>kg</t>
        </is>
      </c>
      <c r="G102" s="116" t="n"/>
      <c r="H102" s="117">
        <f>E91/E102</f>
        <v/>
      </c>
      <c r="I102" s="118">
        <f>H102*G88</f>
        <v/>
      </c>
      <c r="J102" s="222">
        <f>E102*I102</f>
        <v/>
      </c>
      <c r="K102" s="258" t="n"/>
      <c r="L102" s="243" t="n"/>
      <c r="M102" s="243" t="n"/>
      <c r="N102" s="243" t="n"/>
      <c r="O102" s="273" t="n"/>
      <c r="P102" s="249" t="n"/>
      <c r="Q102" s="260" t="n"/>
      <c r="R102" s="249" t="n"/>
      <c r="S102" s="260" t="n"/>
      <c r="T102" s="249" t="n"/>
      <c r="U102" s="260" t="n"/>
      <c r="V102" s="249" t="n"/>
      <c r="W102" s="260" t="n"/>
      <c r="X102" s="249" t="n"/>
      <c r="Y102" s="261" t="n"/>
    </row>
    <row r="103" ht="15" customHeight="1" thickBot="1">
      <c r="B103" s="150" t="inlineStr">
        <is>
          <t>TOTAL</t>
        </is>
      </c>
      <c r="C103" s="151" t="n"/>
      <c r="D103" s="151" t="n"/>
      <c r="E103" s="151" t="n"/>
      <c r="F103" s="152" t="n"/>
      <c r="G103" s="101" t="n"/>
      <c r="H103" s="102" t="n"/>
      <c r="I103" s="105" t="n"/>
      <c r="J103" s="223" t="n"/>
      <c r="K103" s="226" t="n"/>
      <c r="L103" s="227" t="n"/>
      <c r="M103" s="228" t="n"/>
      <c r="N103" s="229" t="n"/>
      <c r="O103" s="230" t="n"/>
      <c r="P103" s="224">
        <f>SUM(P98:P102)</f>
        <v/>
      </c>
      <c r="Q103" s="49" t="n"/>
      <c r="R103" s="217">
        <f>SUM(R98:R102)</f>
        <v/>
      </c>
      <c r="S103" s="49" t="n"/>
      <c r="T103" s="217">
        <f>SUM(T98:T102)</f>
        <v/>
      </c>
      <c r="U103" s="49" t="n"/>
      <c r="V103" s="217">
        <f>SUM(V98:V102)</f>
        <v/>
      </c>
      <c r="W103" s="49" t="n"/>
      <c r="X103" s="217">
        <f>SUM(X98:X102)</f>
        <v/>
      </c>
      <c r="Y103" s="50" t="n"/>
    </row>
    <row r="106" ht="36.6" customHeight="1">
      <c r="A106" s="237" t="inlineStr">
        <is>
          <t>Partie 3</t>
        </is>
      </c>
    </row>
    <row r="108" ht="15" customHeight="1" thickBot="1"/>
    <row r="109" ht="15" customHeight="1" thickBot="1">
      <c r="B109" s="55" t="inlineStr">
        <is>
          <t>Life cycle inventory (intermediary flows)</t>
        </is>
      </c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7" t="inlineStr">
        <is>
          <t>Life Cycle Inventory (elementary flow, CO2)</t>
        </is>
      </c>
      <c r="L109" s="56" t="n"/>
      <c r="M109" s="56" t="n"/>
      <c r="N109" s="56" t="n"/>
      <c r="O109" s="58" t="n"/>
    </row>
    <row r="110" ht="101.4" customHeight="1" thickBot="1">
      <c r="B110" s="160" t="inlineStr">
        <is>
          <t>Unit processes</t>
        </is>
      </c>
      <c r="C110" s="45" t="n"/>
      <c r="D110" s="45" t="n"/>
      <c r="E110" s="45" t="n"/>
      <c r="F110" s="69" t="inlineStr">
        <is>
          <t>unit and</t>
        </is>
      </c>
      <c r="G110" s="95" t="n"/>
      <c r="H110" s="96" t="inlineStr">
        <is>
          <t>Scaling factors [-] to:</t>
        </is>
      </c>
      <c r="I110" s="79" t="n"/>
      <c r="J110" s="174" t="inlineStr">
        <is>
          <t>Intermediary flows / FU</t>
        </is>
      </c>
      <c r="K110" s="161" t="n"/>
      <c r="P110" s="208" t="inlineStr">
        <is>
          <t>Life cycle impact scores / FU &amp; Contribution analysis</t>
        </is>
      </c>
      <c r="Q110" s="183" t="n"/>
      <c r="R110" s="183" t="n"/>
      <c r="S110" s="183" t="n"/>
      <c r="T110" s="183" t="n"/>
      <c r="U110" s="183" t="n"/>
      <c r="V110" s="183" t="n"/>
      <c r="W110" s="183" t="n"/>
      <c r="X110" s="183" t="n"/>
      <c r="Y110" s="184" t="n"/>
    </row>
    <row r="111" ht="29.4" customHeight="1" thickBot="1">
      <c r="B111" s="97" t="n"/>
      <c r="C111" s="2" t="inlineStr">
        <is>
          <t>Flow type</t>
        </is>
      </c>
      <c r="D111" s="2" t="inlineStr">
        <is>
          <t>Flow name</t>
        </is>
      </c>
      <c r="E111" s="2" t="inlineStr">
        <is>
          <t>Quantity</t>
        </is>
      </c>
      <c r="F111" s="93" t="inlineStr">
        <is>
          <t>dimensions</t>
        </is>
      </c>
      <c r="G111" s="97" t="n"/>
      <c r="H111" s="2" t="n"/>
      <c r="I111" s="98" t="inlineStr">
        <is>
          <t>FU</t>
        </is>
      </c>
      <c r="J111" s="175" t="n"/>
      <c r="K111" s="188" t="inlineStr">
        <is>
          <t>CC</t>
        </is>
      </c>
      <c r="L111" s="189" t="inlineStr">
        <is>
          <t>EQ_r</t>
        </is>
      </c>
      <c r="M111" s="189" t="inlineStr">
        <is>
          <t>FNEU</t>
        </is>
      </c>
      <c r="N111" s="189" t="inlineStr">
        <is>
          <t>HH_r</t>
        </is>
      </c>
      <c r="O111" s="207" t="inlineStr">
        <is>
          <t>WS</t>
        </is>
      </c>
      <c r="P111" s="185" t="inlineStr">
        <is>
          <t>kgCO2/unit</t>
        </is>
      </c>
      <c r="Q111" s="213" t="inlineStr">
        <is>
          <t>%</t>
        </is>
      </c>
      <c r="R111" s="213" t="inlineStr">
        <is>
          <t>PDF*m2*yr</t>
        </is>
      </c>
      <c r="S111" s="213" t="inlineStr">
        <is>
          <t>%</t>
        </is>
      </c>
      <c r="T111" s="213" t="inlineStr">
        <is>
          <t>MJ</t>
        </is>
      </c>
      <c r="U111" s="213" t="inlineStr">
        <is>
          <t>%</t>
        </is>
      </c>
      <c r="V111" s="213" t="inlineStr">
        <is>
          <t>DALY</t>
        </is>
      </c>
      <c r="W111" s="213" t="inlineStr">
        <is>
          <t>%</t>
        </is>
      </c>
      <c r="X111" s="213" t="inlineStr">
        <is>
          <t>m3e</t>
        </is>
      </c>
      <c r="Y111" s="209" t="inlineStr">
        <is>
          <t>%</t>
        </is>
      </c>
    </row>
    <row r="112" ht="29.4" customHeight="1" thickBot="1">
      <c r="B112" s="162" t="inlineStr">
        <is>
          <t>Disaggregated unit processes (foreground)</t>
        </is>
      </c>
      <c r="C112" s="163" t="n"/>
      <c r="D112" s="163" t="n"/>
      <c r="E112" s="163" t="n"/>
      <c r="F112" s="164" t="n"/>
      <c r="G112" s="165" t="inlineStr">
        <is>
          <t>Tier 0-1</t>
        </is>
      </c>
      <c r="H112" s="65" t="inlineStr">
        <is>
          <t>Tier 1-2</t>
        </is>
      </c>
      <c r="I112" s="120" t="inlineStr">
        <is>
          <t>Tier n-0</t>
        </is>
      </c>
      <c r="J112" s="176" t="n"/>
      <c r="K112" s="191" t="inlineStr">
        <is>
          <t>kgCO2e/unit</t>
        </is>
      </c>
      <c r="L112" s="19" t="inlineStr">
        <is>
          <t>PDF*m2*yr/unit</t>
        </is>
      </c>
      <c r="M112" s="19" t="inlineStr">
        <is>
          <t>MJ/unit</t>
        </is>
      </c>
      <c r="N112" s="19" t="inlineStr">
        <is>
          <t>DALY/unit</t>
        </is>
      </c>
      <c r="O112" s="206" t="inlineStr">
        <is>
          <t>m3e/unit</t>
        </is>
      </c>
      <c r="P112" s="210" t="inlineStr">
        <is>
          <t>Tier1</t>
        </is>
      </c>
      <c r="Q112" s="232" t="n"/>
      <c r="R112" s="232" t="n"/>
      <c r="S112" s="232" t="n"/>
      <c r="T112" s="232" t="n"/>
      <c r="U112" s="232" t="n"/>
      <c r="V112" s="232" t="n"/>
      <c r="W112" s="232" t="n"/>
      <c r="X112" s="232" t="n"/>
      <c r="Y112" s="211" t="n"/>
    </row>
    <row r="113" ht="15" customHeight="1" thickBot="1">
      <c r="B113" s="177" t="n"/>
      <c r="C113" s="155" t="inlineStr">
        <is>
          <t>Output (FU)</t>
        </is>
      </c>
      <c r="D113" s="155" t="inlineStr">
        <is>
          <t>bouteille de thé froid</t>
        </is>
      </c>
      <c r="E113" s="156" t="n">
        <v>1</v>
      </c>
      <c r="F113" s="157" t="inlineStr">
        <is>
          <t>unit</t>
        </is>
      </c>
      <c r="G113" s="158" t="n"/>
      <c r="H113" s="37" t="n"/>
      <c r="I113" s="92" t="n"/>
      <c r="J113" s="159" t="n"/>
      <c r="K113" s="205" t="n"/>
      <c r="P113" s="187">
        <f>SUM(P117:P123)</f>
        <v/>
      </c>
      <c r="Q113" s="200">
        <f>P113/P$113</f>
        <v/>
      </c>
      <c r="R113" s="16">
        <f>SUM(R117:R123)</f>
        <v/>
      </c>
      <c r="S113" s="200">
        <f>R113/R$113</f>
        <v/>
      </c>
      <c r="T113" s="16">
        <f>SUM(T117:T123)</f>
        <v/>
      </c>
      <c r="U113" s="200">
        <f>T113/T$113</f>
        <v/>
      </c>
      <c r="V113" s="16">
        <f>SUM(V117:V123)</f>
        <v/>
      </c>
      <c r="W113" s="200">
        <f>V113/V$113</f>
        <v/>
      </c>
      <c r="X113" s="16">
        <f>SUM(X117:X123)</f>
        <v/>
      </c>
      <c r="Y113" s="200">
        <f>X113/X$113</f>
        <v/>
      </c>
    </row>
    <row r="114" ht="15" customHeight="1" thickBot="1">
      <c r="B114" s="177" t="n"/>
      <c r="C114" s="2" t="inlineStr">
        <is>
          <t>Input</t>
        </is>
      </c>
      <c r="D114" s="2" t="inlineStr">
        <is>
          <t>Eau</t>
        </is>
      </c>
      <c r="E114" s="16" t="n">
        <v>0.33</v>
      </c>
      <c r="F114" s="84" t="inlineStr">
        <is>
          <t>Kg</t>
        </is>
      </c>
      <c r="G114" s="97" t="n"/>
      <c r="H114" s="2" t="n"/>
      <c r="I114" s="84" t="n"/>
      <c r="J114" s="106" t="n"/>
      <c r="K114" s="22" t="n"/>
      <c r="P114" s="46" t="n"/>
      <c r="Q114" s="200" t="n"/>
      <c r="Y114" s="47" t="n"/>
    </row>
    <row r="115" ht="15" customHeight="1" thickBot="1">
      <c r="B115" s="177" t="n"/>
      <c r="C115" s="2" t="inlineStr">
        <is>
          <t>Input</t>
        </is>
      </c>
      <c r="D115" s="2" t="inlineStr">
        <is>
          <t>Sucre de canne</t>
        </is>
      </c>
      <c r="E115" s="16" t="n">
        <v>0.03</v>
      </c>
      <c r="F115" s="84" t="inlineStr">
        <is>
          <t>Kg</t>
        </is>
      </c>
      <c r="G115" s="97" t="n"/>
      <c r="H115" s="2" t="n"/>
      <c r="I115" s="84" t="n"/>
      <c r="J115" s="106" t="n"/>
      <c r="K115" s="22" t="n"/>
      <c r="P115" s="46" t="n"/>
      <c r="Q115" s="200" t="n"/>
      <c r="Y115" s="47" t="n"/>
    </row>
    <row r="116" ht="15" customHeight="1" thickBot="1">
      <c r="B116" s="178" t="n"/>
      <c r="C116" s="49" t="inlineStr">
        <is>
          <t>Input</t>
        </is>
      </c>
      <c r="D116" s="65" t="inlineStr">
        <is>
          <t>FdV</t>
        </is>
      </c>
      <c r="E116" s="12" t="n">
        <v>1</v>
      </c>
      <c r="F116" s="94" t="inlineStr">
        <is>
          <t>unit</t>
        </is>
      </c>
      <c r="G116" s="97" t="n"/>
      <c r="H116" s="2" t="n"/>
      <c r="I116" s="84" t="n"/>
      <c r="J116" s="106" t="n"/>
      <c r="K116" s="243" t="n"/>
      <c r="L116" s="242" t="n"/>
      <c r="M116" s="242" t="n"/>
      <c r="N116" s="242" t="n"/>
      <c r="O116" s="242" t="n"/>
      <c r="P116" s="202" t="inlineStr">
        <is>
          <t>Tier 1</t>
        </is>
      </c>
      <c r="Q116" s="200" t="n"/>
      <c r="Y116" s="47" t="n"/>
    </row>
    <row r="117" ht="15" customHeight="1" thickBot="1">
      <c r="B117" s="24" t="inlineStr">
        <is>
          <t>Bouteille Vide</t>
        </is>
      </c>
      <c r="C117" s="25" t="inlineStr">
        <is>
          <t>Output</t>
        </is>
      </c>
      <c r="D117" s="45" t="inlineStr">
        <is>
          <t>Bouteille Vide</t>
        </is>
      </c>
      <c r="E117" s="27" t="n">
        <v>1</v>
      </c>
      <c r="F117" s="28" t="inlineStr">
        <is>
          <t>unit</t>
        </is>
      </c>
      <c r="G117" s="99">
        <f>E113/E117</f>
        <v/>
      </c>
      <c r="H117" s="2" t="n"/>
      <c r="I117" s="84" t="n"/>
      <c r="J117" s="106" t="n"/>
      <c r="K117" s="252" t="n"/>
      <c r="L117" s="252" t="n"/>
      <c r="M117" s="252" t="n"/>
      <c r="N117" s="252" t="n"/>
      <c r="O117" s="252" t="n"/>
      <c r="P117" s="253" t="n"/>
      <c r="Q117" s="254" t="n"/>
      <c r="R117" s="255" t="n"/>
      <c r="S117" s="254" t="n"/>
      <c r="T117" s="255" t="n"/>
      <c r="U117" s="254" t="n"/>
      <c r="V117" s="255" t="n"/>
      <c r="W117" s="254" t="n"/>
      <c r="X117" s="255" t="n"/>
      <c r="Y117" s="254" t="n"/>
    </row>
    <row r="118" ht="15" customHeight="1" thickBot="1">
      <c r="B118" s="29" t="n"/>
      <c r="C118" s="22" t="inlineStr">
        <is>
          <t>Input</t>
        </is>
      </c>
      <c r="D118" s="22" t="inlineStr">
        <is>
          <t>Electricité</t>
        </is>
      </c>
      <c r="E118" s="36" t="n">
        <v>0.002</v>
      </c>
      <c r="F118" s="40" t="inlineStr">
        <is>
          <t>kWh</t>
        </is>
      </c>
      <c r="G118" s="100" t="n"/>
      <c r="H118" s="2" t="n"/>
      <c r="I118" s="84" t="n"/>
      <c r="J118" s="106" t="n"/>
      <c r="K118" s="257" t="n"/>
      <c r="L118" s="242" t="n"/>
      <c r="M118" s="242" t="n"/>
      <c r="N118" s="242" t="n"/>
      <c r="O118" s="242" t="n"/>
      <c r="P118" s="258" t="n"/>
      <c r="Q118" s="254" t="n"/>
      <c r="R118" s="242" t="n"/>
      <c r="S118" s="254" t="n"/>
      <c r="T118" s="242" t="n"/>
      <c r="U118" s="254" t="n"/>
      <c r="V118" s="242" t="n"/>
      <c r="W118" s="254" t="n"/>
      <c r="X118" s="242" t="n"/>
      <c r="Y118" s="254" t="n"/>
    </row>
    <row r="119" ht="15" customHeight="1" thickBot="1">
      <c r="B119" s="31" t="n"/>
      <c r="C119" s="33" t="inlineStr">
        <is>
          <t>Input</t>
        </is>
      </c>
      <c r="D119" s="33" t="inlineStr">
        <is>
          <t>PET</t>
        </is>
      </c>
      <c r="E119" s="43" t="n">
        <v>0.013</v>
      </c>
      <c r="F119" s="44" t="inlineStr">
        <is>
          <t>Kg</t>
        </is>
      </c>
      <c r="G119" s="100" t="n"/>
      <c r="H119" s="2" t="n"/>
      <c r="I119" s="84" t="n"/>
      <c r="J119" s="106" t="n"/>
      <c r="K119" s="257" t="n"/>
      <c r="L119" s="242" t="n"/>
      <c r="M119" s="242" t="n"/>
      <c r="N119" s="242" t="n"/>
      <c r="O119" s="242" t="n"/>
      <c r="P119" s="258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</row>
    <row r="120" ht="15" customHeight="1" thickBot="1">
      <c r="B120" s="24" t="inlineStr">
        <is>
          <t>FdV</t>
        </is>
      </c>
      <c r="C120" s="25" t="inlineStr">
        <is>
          <t>Output</t>
        </is>
      </c>
      <c r="D120" s="26" t="inlineStr">
        <is>
          <t>bouteille  vide utilisée</t>
        </is>
      </c>
      <c r="E120" s="103" t="n">
        <v>1</v>
      </c>
      <c r="F120" s="71" t="inlineStr">
        <is>
          <t>unit</t>
        </is>
      </c>
      <c r="G120" s="99">
        <f>E116/E120</f>
        <v/>
      </c>
      <c r="H120" s="2" t="n"/>
      <c r="I120" s="84" t="n"/>
      <c r="J120" s="106" t="n"/>
      <c r="K120" s="252" t="n"/>
      <c r="L120" s="252" t="n"/>
      <c r="M120" s="252" t="n"/>
      <c r="N120" s="252" t="n"/>
      <c r="O120" s="252" t="n"/>
      <c r="P120" s="253" t="n"/>
      <c r="Q120" s="254" t="n"/>
      <c r="R120" s="255" t="n"/>
      <c r="S120" s="254" t="n"/>
      <c r="T120" s="255" t="n"/>
      <c r="U120" s="254" t="n"/>
      <c r="V120" s="255" t="n"/>
      <c r="W120" s="254" t="n"/>
      <c r="X120" s="255" t="n"/>
      <c r="Y120" s="254" t="n"/>
    </row>
    <row r="121" ht="15" customHeight="1" thickBot="1">
      <c r="B121" s="29" t="n"/>
      <c r="C121" s="22" t="inlineStr">
        <is>
          <t>Input</t>
        </is>
      </c>
      <c r="D121" s="22" t="inlineStr">
        <is>
          <t>Dechet PET</t>
        </is>
      </c>
      <c r="E121" s="36" t="n">
        <v>0.013</v>
      </c>
      <c r="F121" s="40" t="inlineStr">
        <is>
          <t>unit</t>
        </is>
      </c>
      <c r="G121" s="100" t="n"/>
      <c r="H121" s="2" t="n"/>
      <c r="I121" s="84" t="n"/>
      <c r="J121" s="106" t="n"/>
      <c r="K121" s="257" t="n"/>
      <c r="L121" s="242" t="n"/>
      <c r="M121" s="242" t="n"/>
      <c r="N121" s="242" t="n"/>
      <c r="O121" s="242" t="n"/>
      <c r="P121" s="258" t="n"/>
      <c r="Q121" s="254" t="n"/>
      <c r="R121" s="242" t="n"/>
      <c r="S121" s="254" t="n"/>
      <c r="T121" s="242" t="n"/>
      <c r="U121" s="254" t="n"/>
      <c r="V121" s="242" t="n"/>
      <c r="W121" s="254" t="n"/>
      <c r="X121" s="242" t="n"/>
      <c r="Y121" s="254" t="n"/>
    </row>
    <row r="122" ht="15" customHeight="1" thickBot="1">
      <c r="B122" s="91" t="inlineStr">
        <is>
          <t>Eau</t>
        </is>
      </c>
      <c r="C122" s="25" t="inlineStr">
        <is>
          <t>Output</t>
        </is>
      </c>
      <c r="D122" s="26" t="inlineStr">
        <is>
          <t>Eau</t>
        </is>
      </c>
      <c r="E122" s="103" t="n">
        <v>1</v>
      </c>
      <c r="F122" s="71" t="inlineStr">
        <is>
          <t>kg</t>
        </is>
      </c>
      <c r="G122" s="99">
        <f>E114/E122</f>
        <v/>
      </c>
      <c r="H122" s="2" t="n"/>
      <c r="I122" s="84" t="n"/>
      <c r="J122" s="106" t="n"/>
      <c r="K122" s="242" t="n"/>
      <c r="L122" s="243" t="n"/>
      <c r="M122" s="243" t="n"/>
      <c r="N122" s="246" t="n"/>
      <c r="O122" s="243" t="n"/>
      <c r="P122" s="253" t="n"/>
      <c r="Q122" s="254" t="n"/>
      <c r="R122" s="255" t="n"/>
      <c r="S122" s="254" t="n"/>
      <c r="T122" s="255" t="n"/>
      <c r="U122" s="254" t="n"/>
      <c r="V122" s="255" t="n"/>
      <c r="W122" s="254" t="n"/>
      <c r="X122" s="255" t="n"/>
      <c r="Y122" s="254" t="n"/>
    </row>
    <row r="123" ht="15" customHeight="1" thickBot="1">
      <c r="B123" s="41" t="inlineStr">
        <is>
          <t>Sucre de Betrave</t>
        </is>
      </c>
      <c r="C123" s="21" t="inlineStr">
        <is>
          <t>Output</t>
        </is>
      </c>
      <c r="D123" s="22" t="inlineStr">
        <is>
          <t>Sucre de Canne</t>
        </is>
      </c>
      <c r="E123" s="23" t="n">
        <v>1</v>
      </c>
      <c r="F123" s="40" t="inlineStr">
        <is>
          <t>kg</t>
        </is>
      </c>
      <c r="G123" s="99">
        <f>E115/E123</f>
        <v/>
      </c>
      <c r="H123" s="2" t="n"/>
      <c r="I123" s="84" t="n"/>
      <c r="J123" s="106" t="n"/>
      <c r="K123" s="242" t="n"/>
      <c r="L123" s="243" t="n"/>
      <c r="M123" s="243" t="n"/>
      <c r="N123" s="243" t="n"/>
      <c r="O123" s="243" t="n"/>
      <c r="P123" s="253" t="n"/>
      <c r="Q123" s="254" t="n"/>
      <c r="R123" s="255" t="n"/>
      <c r="S123" s="254" t="n"/>
      <c r="T123" s="255" t="n"/>
      <c r="U123" s="254" t="n"/>
      <c r="V123" s="255" t="n"/>
      <c r="W123" s="254" t="n"/>
      <c r="X123" s="255" t="n"/>
      <c r="Y123" s="254" t="n"/>
    </row>
    <row r="124" ht="15" customHeight="1" thickBot="1">
      <c r="B124" s="41" t="n"/>
      <c r="C124" s="21" t="n"/>
      <c r="D124" s="22" t="n"/>
      <c r="E124" s="23" t="n"/>
      <c r="F124" s="40" t="n"/>
      <c r="G124" s="99" t="n"/>
      <c r="H124" s="19" t="n"/>
      <c r="I124" s="206" t="n"/>
      <c r="J124" s="106" t="n"/>
      <c r="K124" s="242" t="n"/>
      <c r="L124" s="243" t="n"/>
      <c r="M124" s="243" t="n"/>
      <c r="N124" s="243" t="n"/>
      <c r="O124" s="243" t="n"/>
      <c r="P124" s="202" t="inlineStr">
        <is>
          <t>Tier 2</t>
        </is>
      </c>
      <c r="Q124" s="200" t="n"/>
      <c r="R124" s="16" t="n"/>
      <c r="S124" s="200" t="n"/>
      <c r="T124" s="16" t="n"/>
      <c r="U124" s="200" t="n"/>
      <c r="V124" s="16" t="n"/>
      <c r="W124" s="200" t="n"/>
      <c r="X124" s="16" t="n"/>
      <c r="Y124" s="201" t="n"/>
    </row>
    <row r="125" ht="15" customHeight="1" thickBot="1">
      <c r="B125" s="41" t="inlineStr">
        <is>
          <t>Incineration PET</t>
        </is>
      </c>
      <c r="C125" s="22" t="inlineStr">
        <is>
          <t>Ouptut</t>
        </is>
      </c>
      <c r="D125" s="22" t="inlineStr">
        <is>
          <t>Dechet PET</t>
        </is>
      </c>
      <c r="E125" s="23" t="n">
        <v>1</v>
      </c>
      <c r="F125" s="40" t="inlineStr">
        <is>
          <t>kg</t>
        </is>
      </c>
      <c r="G125" s="99" t="n"/>
      <c r="H125" s="154">
        <f>E121/E125</f>
        <v/>
      </c>
      <c r="I125" s="153">
        <f>H125*G117</f>
        <v/>
      </c>
      <c r="J125" s="107">
        <f>E125*I125</f>
        <v/>
      </c>
      <c r="K125" s="242" t="n"/>
      <c r="L125" s="242" t="n"/>
      <c r="M125" s="242" t="n"/>
      <c r="N125" s="255" t="n"/>
      <c r="O125" s="242" t="n"/>
      <c r="P125" s="253" t="n"/>
      <c r="Q125" s="254" t="n"/>
      <c r="R125" s="253" t="n"/>
      <c r="S125" s="254" t="n"/>
      <c r="T125" s="255" t="n"/>
      <c r="U125" s="254" t="n"/>
      <c r="V125" s="255" t="n"/>
      <c r="W125" s="254" t="n"/>
      <c r="X125" s="255" t="n"/>
      <c r="Y125" s="254" t="n"/>
    </row>
    <row r="126" ht="15" customHeight="1" thickBot="1">
      <c r="B126" s="41" t="inlineStr">
        <is>
          <t>Prod. Electricity</t>
        </is>
      </c>
      <c r="C126" s="21" t="inlineStr">
        <is>
          <t>Output</t>
        </is>
      </c>
      <c r="D126" s="22" t="inlineStr">
        <is>
          <t>Electricity</t>
        </is>
      </c>
      <c r="E126" s="23" t="n">
        <v>1</v>
      </c>
      <c r="F126" s="30" t="inlineStr">
        <is>
          <t>kWh</t>
        </is>
      </c>
      <c r="G126" s="104" t="n"/>
      <c r="H126" s="115">
        <f>E118/E126</f>
        <v/>
      </c>
      <c r="I126" s="114">
        <f>H126*G117</f>
        <v/>
      </c>
      <c r="J126" s="107">
        <f>E126*I126</f>
        <v/>
      </c>
      <c r="K126" s="242" t="n"/>
      <c r="L126" s="243" t="n"/>
      <c r="M126" s="243" t="n"/>
      <c r="N126" s="246" t="n"/>
      <c r="O126" s="243" t="n"/>
      <c r="P126" s="253" t="n"/>
      <c r="Q126" s="254" t="n"/>
      <c r="R126" s="253" t="n"/>
      <c r="S126" s="254" t="n"/>
      <c r="T126" s="255" t="n"/>
      <c r="U126" s="254" t="n"/>
      <c r="V126" s="255" t="n"/>
      <c r="W126" s="254" t="n"/>
      <c r="X126" s="255" t="n"/>
      <c r="Y126" s="254" t="n"/>
    </row>
    <row r="127" ht="15" customHeight="1" thickBot="1">
      <c r="B127" s="42" t="inlineStr">
        <is>
          <t>Production de PET</t>
        </is>
      </c>
      <c r="C127" s="33" t="inlineStr">
        <is>
          <t>Output</t>
        </is>
      </c>
      <c r="D127" s="33" t="inlineStr">
        <is>
          <t>PET</t>
        </is>
      </c>
      <c r="E127" s="43" t="n">
        <v>1</v>
      </c>
      <c r="F127" s="44" t="inlineStr">
        <is>
          <t>kg</t>
        </is>
      </c>
      <c r="G127" s="116" t="n"/>
      <c r="H127" s="117">
        <f>E119/E127</f>
        <v/>
      </c>
      <c r="I127" s="118">
        <f>H127*G117</f>
        <v/>
      </c>
      <c r="J127" s="119">
        <f>E127*I127</f>
        <v/>
      </c>
      <c r="K127" s="242" t="n"/>
      <c r="L127" s="243" t="n"/>
      <c r="M127" s="243" t="n"/>
      <c r="N127" s="246" t="n"/>
      <c r="O127" s="243" t="n"/>
      <c r="P127" s="253" t="n"/>
      <c r="Q127" s="254" t="n"/>
      <c r="R127" s="253" t="n"/>
      <c r="S127" s="254" t="n"/>
      <c r="T127" s="255" t="n"/>
      <c r="U127" s="254" t="n"/>
      <c r="V127" s="255" t="n"/>
      <c r="W127" s="254" t="n"/>
      <c r="X127" s="255" t="n"/>
      <c r="Y127" s="254" t="n"/>
    </row>
    <row r="128" ht="15" customHeight="1" thickBot="1">
      <c r="B128" s="113" t="inlineStr">
        <is>
          <t>TOTAL</t>
        </is>
      </c>
      <c r="C128" s="102" t="n"/>
      <c r="D128" s="102" t="n"/>
      <c r="E128" s="102" t="n"/>
      <c r="F128" s="105" t="n"/>
      <c r="G128" s="101" t="n"/>
      <c r="H128" s="102" t="n"/>
      <c r="I128" s="105" t="n"/>
      <c r="J128" s="108" t="n"/>
      <c r="K128" s="212" t="n"/>
      <c r="L128" s="212" t="n"/>
      <c r="M128" s="212" t="n"/>
      <c r="N128" s="212" t="n"/>
      <c r="O128" s="212" t="n"/>
      <c r="P128" s="215">
        <f>SUM(P125:P127)</f>
        <v/>
      </c>
      <c r="Q128" s="122" t="n"/>
      <c r="R128" s="216">
        <f>SUM(R125:R127)</f>
        <v/>
      </c>
      <c r="S128" s="122" t="n"/>
      <c r="T128" s="216">
        <f>SUM(T125:T127)</f>
        <v/>
      </c>
      <c r="U128" s="122" t="n"/>
      <c r="V128" s="216">
        <f>SUM(V125:V127)</f>
        <v/>
      </c>
      <c r="W128" s="122" t="n"/>
      <c r="X128" s="216">
        <f>SUM(X125:X127)</f>
        <v/>
      </c>
      <c r="Y128" s="123" t="n"/>
    </row>
    <row r="132" ht="36.6" customHeight="1">
      <c r="A132" s="237" t="inlineStr">
        <is>
          <t>Partie 4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Y56"/>
  <sheetViews>
    <sheetView tabSelected="1" topLeftCell="A30" workbookViewId="0">
      <selection activeCell="E40" sqref="E40:E41"/>
    </sheetView>
  </sheetViews>
  <sheetFormatPr baseColWidth="8" defaultRowHeight="14.4"/>
  <cols>
    <col width="18.77734375" customWidth="1" min="2" max="2"/>
    <col width="12.21875" bestFit="1" customWidth="1" min="3" max="3"/>
    <col width="17.77734375" customWidth="1" min="4" max="4"/>
    <col width="11.21875" bestFit="1" customWidth="1" min="5" max="5"/>
    <col width="12.21875" bestFit="1" customWidth="1" min="6" max="6"/>
    <col width="8.88671875" customWidth="1" min="8" max="8"/>
  </cols>
  <sheetData>
    <row r="2">
      <c r="B2" s="17" t="n"/>
    </row>
    <row r="3">
      <c r="B3" s="51" t="inlineStr">
        <is>
          <t>Fonction: production electricité et chaleur haute temperature</t>
        </is>
      </c>
    </row>
    <row r="4">
      <c r="B4" s="51" t="inlineStr">
        <is>
          <t>Unité Fonctionnelle: 1kWh_electricité et 2.52 MJ chaleur</t>
        </is>
      </c>
    </row>
    <row r="5">
      <c r="B5" s="51" t="inlineStr">
        <is>
          <t>Les procédés en bleu sont désagrégés et ceux en brun sont agrégés.</t>
        </is>
      </c>
    </row>
    <row r="6" ht="15" customHeight="1" thickBot="1"/>
    <row r="7" ht="15" customHeight="1" thickBot="1">
      <c r="B7" s="203" t="inlineStr">
        <is>
          <t>Key parameters</t>
        </is>
      </c>
      <c r="C7" s="72" t="n"/>
      <c r="D7" s="87" t="n"/>
    </row>
    <row r="8">
      <c r="B8" s="204" t="n"/>
      <c r="D8" s="47" t="n"/>
      <c r="F8" s="203" t="inlineStr">
        <is>
          <t>Constantes</t>
        </is>
      </c>
      <c r="G8" s="87" t="n"/>
    </row>
    <row r="9">
      <c r="B9" s="46" t="inlineStr">
        <is>
          <t>Masse_Nickel</t>
        </is>
      </c>
      <c r="C9" t="n">
        <v>20</v>
      </c>
      <c r="D9" s="47" t="inlineStr">
        <is>
          <t>Kg</t>
        </is>
      </c>
      <c r="F9" s="46" t="inlineStr">
        <is>
          <t>d/y</t>
        </is>
      </c>
      <c r="G9" s="47" t="n">
        <v>365</v>
      </c>
    </row>
    <row r="10">
      <c r="B10" s="46" t="inlineStr">
        <is>
          <t>Mass-Zircone</t>
        </is>
      </c>
      <c r="C10" t="n">
        <v>20</v>
      </c>
      <c r="D10" s="47" t="inlineStr">
        <is>
          <t>Kg</t>
        </is>
      </c>
      <c r="F10" s="46" t="inlineStr">
        <is>
          <t>h/d</t>
        </is>
      </c>
      <c r="G10" s="47" t="n">
        <v>24</v>
      </c>
    </row>
    <row r="11">
      <c r="B11" s="46" t="inlineStr">
        <is>
          <t>Masse_Lanthane</t>
        </is>
      </c>
      <c r="C11" t="n">
        <v>3</v>
      </c>
      <c r="D11" s="47" t="inlineStr">
        <is>
          <t>kg</t>
        </is>
      </c>
      <c r="F11" s="46" t="inlineStr">
        <is>
          <t>g/kg</t>
        </is>
      </c>
      <c r="G11" s="47" t="n">
        <v>1000</v>
      </c>
    </row>
    <row r="12" ht="15" customHeight="1" thickBot="1">
      <c r="B12" s="46" t="inlineStr">
        <is>
          <t>Masse_Acier</t>
        </is>
      </c>
      <c r="C12" t="n">
        <v>100</v>
      </c>
      <c r="D12" s="47" t="inlineStr">
        <is>
          <t>kg</t>
        </is>
      </c>
      <c r="F12" s="48" t="inlineStr">
        <is>
          <t>MJ/kWh</t>
        </is>
      </c>
      <c r="G12" s="50" t="n">
        <v>3.6</v>
      </c>
    </row>
    <row r="13">
      <c r="B13" s="46" t="inlineStr">
        <is>
          <t>Lifetime_stack</t>
        </is>
      </c>
      <c r="C13" t="n">
        <v>10</v>
      </c>
      <c r="D13" s="47" t="inlineStr">
        <is>
          <t>y</t>
        </is>
      </c>
    </row>
    <row r="14">
      <c r="B14" s="46" t="inlineStr">
        <is>
          <t>Lifetime_BoP</t>
        </is>
      </c>
      <c r="C14" t="n">
        <v>20</v>
      </c>
      <c r="D14" s="47" t="inlineStr">
        <is>
          <t>y</t>
        </is>
      </c>
    </row>
    <row r="15">
      <c r="B15" s="46" t="inlineStr">
        <is>
          <t>H2</t>
        </is>
      </c>
      <c r="C15" t="n">
        <v>0.05</v>
      </c>
      <c r="D15" s="47" t="inlineStr">
        <is>
          <t>kg/KWh d'électricité</t>
        </is>
      </c>
    </row>
    <row r="16" ht="15" customHeight="1" thickBot="1">
      <c r="B16" s="48" t="inlineStr">
        <is>
          <t>Heat</t>
        </is>
      </c>
      <c r="C16" s="49" t="n">
        <v>2520</v>
      </c>
      <c r="D16" s="50" t="inlineStr">
        <is>
          <t>KJ/KWh d'électricité</t>
        </is>
      </c>
    </row>
    <row r="17">
      <c r="B17" s="51" t="n"/>
    </row>
    <row r="18" ht="15" customHeight="1" thickBot="1">
      <c r="B18" s="51" t="n"/>
    </row>
    <row r="19" ht="15" customHeight="1" thickBot="1">
      <c r="B19" s="238" t="inlineStr">
        <is>
          <t>Extracted from the ecoinvent LCI Database</t>
        </is>
      </c>
      <c r="C19" s="56" t="n"/>
      <c r="D19" s="122" t="n"/>
      <c r="E19" s="72" t="n"/>
      <c r="F19" s="72" t="n"/>
      <c r="G19" s="290" t="inlineStr">
        <is>
          <t>Life Cycle Inventory</t>
        </is>
      </c>
      <c r="H19" s="72" t="n"/>
      <c r="I19" s="72" t="n"/>
      <c r="J19" s="241" t="inlineStr">
        <is>
          <t>EcoQuery</t>
        </is>
      </c>
      <c r="K19" s="239" t="inlineStr">
        <is>
          <t>Location</t>
        </is>
      </c>
    </row>
    <row r="20">
      <c r="B20" s="70" t="n"/>
      <c r="C20" s="26" t="n"/>
      <c r="D20" s="290" t="n"/>
      <c r="E20" s="182" t="inlineStr">
        <is>
          <t>CC</t>
        </is>
      </c>
      <c r="F20" s="26" t="inlineStr">
        <is>
          <t>EQ_r</t>
        </is>
      </c>
      <c r="G20" s="26" t="inlineStr">
        <is>
          <t>FNEU</t>
        </is>
      </c>
      <c r="H20" s="26" t="inlineStr">
        <is>
          <t>HH_r</t>
        </is>
      </c>
      <c r="I20" s="26" t="inlineStr">
        <is>
          <t>WS</t>
        </is>
      </c>
      <c r="J20" s="72" t="n"/>
      <c r="K20" s="87" t="n"/>
    </row>
    <row r="21">
      <c r="B21" s="46" t="inlineStr">
        <is>
          <t>Nickel</t>
        </is>
      </c>
      <c r="C21" t="n">
        <v>1</v>
      </c>
      <c r="D21" t="inlineStr">
        <is>
          <t>kg</t>
        </is>
      </c>
      <c r="E21" s="258" t="n">
        <v>16.5</v>
      </c>
      <c r="F21" s="242" t="n">
        <v>4.25</v>
      </c>
      <c r="G21" s="242" t="n">
        <v>222</v>
      </c>
      <c r="H21" s="242" t="n">
        <v>6.2e-06</v>
      </c>
      <c r="I21" s="242" t="n">
        <v>2.85</v>
      </c>
      <c r="J21" s="244" t="n"/>
      <c r="K21" s="245" t="n"/>
    </row>
    <row r="22">
      <c r="B22" s="46" t="inlineStr">
        <is>
          <t>Zircone</t>
        </is>
      </c>
      <c r="C22" t="n">
        <v>1</v>
      </c>
      <c r="D22" t="inlineStr">
        <is>
          <t>Kg</t>
        </is>
      </c>
      <c r="E22" s="258" t="n">
        <v>1.1</v>
      </c>
      <c r="F22" s="242" t="n">
        <v>0.312</v>
      </c>
      <c r="G22" s="242" t="n">
        <v>18.5</v>
      </c>
      <c r="H22" s="242" t="n">
        <v>3.4e-07</v>
      </c>
      <c r="I22" s="242" t="n">
        <v>0.185</v>
      </c>
      <c r="J22" s="244" t="n"/>
      <c r="K22" s="245" t="n"/>
    </row>
    <row r="23">
      <c r="B23" s="46" t="inlineStr">
        <is>
          <t>Lanthane</t>
        </is>
      </c>
      <c r="C23" t="n">
        <v>1</v>
      </c>
      <c r="D23" t="inlineStr">
        <is>
          <t>Kg</t>
        </is>
      </c>
      <c r="E23" s="258" t="n">
        <v>24.8</v>
      </c>
      <c r="F23" s="242" t="n">
        <v>8.449999999999999</v>
      </c>
      <c r="G23" s="242" t="n">
        <v>312</v>
      </c>
      <c r="H23" s="242" t="n">
        <v>9.799999999999999e-06</v>
      </c>
      <c r="I23" s="242" t="n">
        <v>5.12</v>
      </c>
      <c r="J23" s="244" t="n"/>
      <c r="K23" s="245" t="n"/>
      <c r="N23" s="16" t="n"/>
    </row>
    <row r="24">
      <c r="B24" s="46" t="inlineStr">
        <is>
          <t>Acier</t>
        </is>
      </c>
      <c r="C24" t="n">
        <v>1</v>
      </c>
      <c r="D24" t="inlineStr">
        <is>
          <t>Kg</t>
        </is>
      </c>
      <c r="E24" s="258" t="n">
        <v>2.89</v>
      </c>
      <c r="F24" s="242" t="n">
        <v>0.782</v>
      </c>
      <c r="G24" s="242" t="n">
        <v>35.2</v>
      </c>
      <c r="H24" s="242" t="n">
        <v>8.899999999999999e-07</v>
      </c>
      <c r="I24" s="242" t="n">
        <v>0.198</v>
      </c>
      <c r="J24" s="244" t="n"/>
      <c r="K24" s="245" t="n"/>
      <c r="N24" s="16" t="n"/>
    </row>
    <row r="25">
      <c r="B25" s="46" t="inlineStr">
        <is>
          <t>Hydrogène</t>
        </is>
      </c>
      <c r="C25" t="n">
        <v>1</v>
      </c>
      <c r="D25" t="inlineStr">
        <is>
          <t>Kg</t>
        </is>
      </c>
      <c r="E25" s="293" t="n">
        <v>2.1</v>
      </c>
      <c r="F25" s="291" t="n">
        <v>0.629</v>
      </c>
      <c r="G25" s="291" t="n">
        <v>24.9</v>
      </c>
      <c r="H25" s="292" t="n">
        <v>2.98e-06</v>
      </c>
      <c r="I25" s="291" t="n">
        <v>6.92</v>
      </c>
      <c r="J25" s="244" t="inlineStr">
        <is>
          <t>/</t>
        </is>
      </c>
      <c r="K25" s="245" t="inlineStr">
        <is>
          <t>/</t>
        </is>
      </c>
      <c r="N25" s="16" t="n"/>
    </row>
    <row r="26">
      <c r="B26" s="46" t="inlineStr">
        <is>
          <t>EoL</t>
        </is>
      </c>
      <c r="C26" t="n">
        <v>1</v>
      </c>
      <c r="D26" t="inlineStr">
        <is>
          <t>Unit of stack</t>
        </is>
      </c>
      <c r="E26" s="187" t="n">
        <v>3.33</v>
      </c>
      <c r="F26" s="16" t="n">
        <v>0.435</v>
      </c>
      <c r="G26" s="16" t="n">
        <v>11.1</v>
      </c>
      <c r="H26" s="16" t="n">
        <v>1.07e-06</v>
      </c>
      <c r="I26" s="16" t="n">
        <v>0.59</v>
      </c>
      <c r="J26" s="244" t="inlineStr">
        <is>
          <t>/</t>
        </is>
      </c>
      <c r="K26" s="245" t="inlineStr">
        <is>
          <t>/</t>
        </is>
      </c>
      <c r="N26" s="16" t="n"/>
    </row>
    <row r="27" ht="15" customHeight="1" thickBot="1">
      <c r="B27" s="48" t="inlineStr">
        <is>
          <t>BoP</t>
        </is>
      </c>
      <c r="C27" s="49" t="n">
        <v>1</v>
      </c>
      <c r="D27" s="49" t="inlineStr">
        <is>
          <t xml:space="preserve">Unit of stack </t>
        </is>
      </c>
      <c r="E27" s="48" t="n">
        <v>12203.73868</v>
      </c>
      <c r="F27" s="49" t="n">
        <v>5623.574835</v>
      </c>
      <c r="G27" s="49" t="n">
        <v>159184.6227</v>
      </c>
      <c r="H27" s="90" t="n">
        <v>0.0308</v>
      </c>
      <c r="I27" s="49" t="n">
        <v>4424.61413</v>
      </c>
      <c r="J27" s="250" t="inlineStr">
        <is>
          <t>/</t>
        </is>
      </c>
      <c r="K27" s="251" t="inlineStr">
        <is>
          <t>/</t>
        </is>
      </c>
      <c r="N27" s="16" t="n"/>
    </row>
    <row r="28">
      <c r="J28" s="289" t="n"/>
      <c r="K28" s="289" t="n"/>
      <c r="N28" s="16" t="n"/>
    </row>
    <row r="31" ht="15" customHeight="1" thickBot="1"/>
    <row r="32" ht="15" customHeight="1" thickBot="1">
      <c r="B32" s="55" t="inlineStr">
        <is>
          <t>Life cycle inventory (intermediary flows)</t>
        </is>
      </c>
      <c r="C32" s="56" t="n"/>
      <c r="D32" s="56" t="n"/>
      <c r="E32" s="56" t="n"/>
      <c r="F32" s="56" t="n"/>
      <c r="G32" s="56" t="n"/>
      <c r="H32" s="56" t="n"/>
      <c r="I32" s="56" t="n"/>
      <c r="J32" s="56" t="n"/>
      <c r="K32" s="181" t="inlineStr">
        <is>
          <t>Life Cycle Inventory (elementary flow, CO2)</t>
        </is>
      </c>
      <c r="L32" s="26" t="n"/>
      <c r="M32" s="26" t="n"/>
      <c r="N32" s="26" t="n"/>
      <c r="O32" s="71" t="n"/>
    </row>
    <row r="33" ht="15" customHeight="1" thickBot="1">
      <c r="B33" s="53" t="inlineStr">
        <is>
          <t>Unit processes</t>
        </is>
      </c>
      <c r="C33" s="37" t="n"/>
      <c r="D33" s="37" t="n"/>
      <c r="E33" s="37" t="n"/>
      <c r="F33" s="39" t="inlineStr">
        <is>
          <t>unit and</t>
        </is>
      </c>
      <c r="G33" s="37" t="n"/>
      <c r="H33" s="54" t="inlineStr">
        <is>
          <t>Scaling factors [-] to:</t>
        </is>
      </c>
      <c r="I33" s="39" t="n"/>
      <c r="J33" s="309" t="inlineStr">
        <is>
          <t>Intermediary flows / FU</t>
        </is>
      </c>
      <c r="K33" s="310" t="inlineStr">
        <is>
          <t>Cadle-to-gate Impact factors</t>
        </is>
      </c>
      <c r="L33" s="311" t="n"/>
      <c r="M33" s="311" t="n"/>
      <c r="N33" s="311" t="n"/>
      <c r="O33" s="312" t="n"/>
      <c r="P33" s="313" t="inlineStr">
        <is>
          <t>Life cycle impact scores / FU &amp; Contribution analysis</t>
        </is>
      </c>
      <c r="Q33" s="314" t="n"/>
      <c r="R33" s="314" t="n"/>
      <c r="S33" s="314" t="n"/>
      <c r="T33" s="314" t="n"/>
      <c r="U33" s="314" t="n"/>
      <c r="V33" s="314" t="n"/>
      <c r="W33" s="314" t="n"/>
      <c r="X33" s="314" t="n"/>
      <c r="Y33" s="315" t="n"/>
    </row>
    <row r="34" ht="29.4" customHeight="1" thickBot="1">
      <c r="B34" s="5" t="n"/>
      <c r="C34" s="2" t="inlineStr">
        <is>
          <t>Flow type</t>
        </is>
      </c>
      <c r="D34" s="2" t="inlineStr">
        <is>
          <t>Flow name</t>
        </is>
      </c>
      <c r="E34" s="2" t="inlineStr">
        <is>
          <t>Quantity</t>
        </is>
      </c>
      <c r="F34" s="1" t="inlineStr">
        <is>
          <t>dimensions</t>
        </is>
      </c>
      <c r="G34" s="2" t="n"/>
      <c r="H34" s="2" t="n"/>
      <c r="I34" s="7" t="inlineStr">
        <is>
          <t>FU</t>
        </is>
      </c>
      <c r="J34" s="316" t="n"/>
      <c r="K34" s="188" t="inlineStr">
        <is>
          <t>CC</t>
        </is>
      </c>
      <c r="L34" s="189" t="inlineStr">
        <is>
          <t>EQ_r</t>
        </is>
      </c>
      <c r="M34" s="189" t="inlineStr">
        <is>
          <t>FNEU</t>
        </is>
      </c>
      <c r="N34" s="189" t="inlineStr">
        <is>
          <t>HH_r</t>
        </is>
      </c>
      <c r="O34" s="190" t="inlineStr">
        <is>
          <t>WS</t>
        </is>
      </c>
      <c r="P34" s="192" t="inlineStr">
        <is>
          <t>kgCO2/unit</t>
        </is>
      </c>
      <c r="Q34" s="193" t="inlineStr">
        <is>
          <t>%</t>
        </is>
      </c>
      <c r="R34" s="193" t="inlineStr">
        <is>
          <t>PDF*m2*yr</t>
        </is>
      </c>
      <c r="S34" s="193" t="inlineStr">
        <is>
          <t>%</t>
        </is>
      </c>
      <c r="T34" s="193" t="inlineStr">
        <is>
          <t>MJ</t>
        </is>
      </c>
      <c r="U34" s="193" t="inlineStr">
        <is>
          <t>%</t>
        </is>
      </c>
      <c r="V34" s="193" t="inlineStr">
        <is>
          <t>DALY</t>
        </is>
      </c>
      <c r="W34" s="193" t="inlineStr">
        <is>
          <t>%</t>
        </is>
      </c>
      <c r="X34" s="193" t="inlineStr">
        <is>
          <t>m3e</t>
        </is>
      </c>
      <c r="Y34" s="194" t="inlineStr">
        <is>
          <t>%</t>
        </is>
      </c>
    </row>
    <row r="35" ht="29.4" customHeight="1" thickBot="1">
      <c r="B35" s="8" t="inlineStr">
        <is>
          <t>Disaggregated unit processes (foreground)</t>
        </is>
      </c>
      <c r="C35" s="9" t="n"/>
      <c r="D35" s="9" t="n"/>
      <c r="E35" s="9" t="n"/>
      <c r="F35" s="10" t="n"/>
      <c r="G35" s="3" t="inlineStr">
        <is>
          <t>Tier 0-1</t>
        </is>
      </c>
      <c r="H35" s="3" t="inlineStr">
        <is>
          <t>Tier 1-2</t>
        </is>
      </c>
      <c r="I35" s="4" t="inlineStr">
        <is>
          <t>Tier n-0</t>
        </is>
      </c>
      <c r="J35" s="317" t="n"/>
      <c r="K35" s="191" t="inlineStr">
        <is>
          <t>kgCO2e/unit</t>
        </is>
      </c>
      <c r="L35" s="19" t="inlineStr">
        <is>
          <t>PDF*m2*yr/unit</t>
        </is>
      </c>
      <c r="M35" s="19" t="inlineStr">
        <is>
          <t>MJ/unit</t>
        </is>
      </c>
      <c r="N35" s="19" t="inlineStr">
        <is>
          <t>DALY/unit</t>
        </is>
      </c>
      <c r="O35" s="20" t="inlineStr">
        <is>
          <t>m3e/unit</t>
        </is>
      </c>
      <c r="P35" s="318" t="inlineStr">
        <is>
          <t>Tier1</t>
        </is>
      </c>
      <c r="Q35" s="319" t="n"/>
      <c r="R35" s="319" t="n"/>
      <c r="S35" s="319" t="n"/>
      <c r="T35" s="319" t="n"/>
      <c r="U35" s="319" t="n"/>
      <c r="V35" s="319" t="n"/>
      <c r="W35" s="319" t="n"/>
      <c r="X35" s="319" t="n"/>
      <c r="Y35" s="320" t="n"/>
    </row>
    <row r="36" ht="15" customHeight="1" thickBot="1">
      <c r="B36" s="321" t="inlineStr">
        <is>
          <t>Fabrication D'électricité Controllable</t>
        </is>
      </c>
      <c r="C36" s="11" t="inlineStr">
        <is>
          <t>Output (FU)</t>
        </is>
      </c>
      <c r="D36" s="11" t="inlineStr">
        <is>
          <t>Functional unit</t>
        </is>
      </c>
      <c r="E36" s="13" t="n">
        <v>1</v>
      </c>
      <c r="F36" s="14" t="inlineStr">
        <is>
          <t>KW</t>
        </is>
      </c>
      <c r="G36" s="2" t="n"/>
      <c r="H36" s="2" t="n"/>
      <c r="I36" s="6" t="n"/>
      <c r="J36" s="84" t="n"/>
      <c r="K36" s="182" t="n"/>
      <c r="L36" s="26" t="n"/>
      <c r="M36" s="26" t="n"/>
      <c r="N36" s="26" t="n"/>
      <c r="O36" s="71" t="n"/>
      <c r="P36" s="195">
        <f>SUM(P42:P49)</f>
        <v/>
      </c>
      <c r="Q36" s="199">
        <f>P36/$P$36</f>
        <v/>
      </c>
      <c r="R36" s="195">
        <f>SUM(R42:R49)</f>
        <v/>
      </c>
      <c r="S36" s="199">
        <f>R36/$R$36</f>
        <v/>
      </c>
      <c r="T36" s="195">
        <f>SUM(T42:T49)</f>
        <v/>
      </c>
      <c r="U36" s="199">
        <f>T36/$T$36</f>
        <v/>
      </c>
      <c r="V36" s="195">
        <f>SUM(V42:V49)</f>
        <v/>
      </c>
      <c r="W36" s="199">
        <f>V36/$V$36</f>
        <v/>
      </c>
      <c r="X36" s="197">
        <f>SUM(X42:X49)</f>
        <v/>
      </c>
      <c r="Y36" s="199">
        <f>X36/$X$36</f>
        <v/>
      </c>
    </row>
    <row r="37" ht="15" customHeight="1" thickBot="1">
      <c r="B37" s="322" t="n"/>
      <c r="C37" s="11" t="n"/>
      <c r="D37" s="11" t="inlineStr">
        <is>
          <t>Functional unit</t>
        </is>
      </c>
      <c r="E37" s="13" t="n">
        <v>2.52</v>
      </c>
      <c r="F37" s="14" t="inlineStr">
        <is>
          <t>MJ</t>
        </is>
      </c>
      <c r="G37" s="2" t="n"/>
      <c r="H37" s="2" t="n"/>
      <c r="I37" s="6" t="n"/>
      <c r="J37" s="84" t="n"/>
      <c r="K37" s="186" t="n"/>
      <c r="L37" s="22" t="n"/>
      <c r="M37" s="22" t="n"/>
      <c r="N37" s="22" t="n"/>
      <c r="O37" s="40" t="n"/>
      <c r="P37" s="46" t="n"/>
      <c r="Q37" s="200" t="n"/>
      <c r="Y37" s="47" t="n"/>
    </row>
    <row r="38" ht="15" customHeight="1" thickBot="1">
      <c r="B38" s="322" t="n"/>
      <c r="C38" s="2" t="inlineStr">
        <is>
          <t>Input</t>
        </is>
      </c>
      <c r="D38" s="2" t="inlineStr">
        <is>
          <t>H2</t>
        </is>
      </c>
      <c r="E38" s="12" t="n">
        <v>0.05</v>
      </c>
      <c r="F38" s="6" t="inlineStr">
        <is>
          <t>Kg</t>
        </is>
      </c>
      <c r="G38" s="2" t="n"/>
      <c r="H38" s="2" t="n"/>
      <c r="I38" s="6" t="n"/>
      <c r="J38" s="84" t="n"/>
      <c r="K38" s="186" t="n"/>
      <c r="L38" s="22" t="n"/>
      <c r="M38" s="22" t="n"/>
      <c r="N38" s="22" t="n"/>
      <c r="O38" s="40" t="n"/>
      <c r="P38" s="46" t="n"/>
      <c r="Q38" s="200" t="n"/>
      <c r="Y38" s="47" t="n"/>
    </row>
    <row r="39" ht="15" customHeight="1" thickBot="1">
      <c r="B39" s="322" t="n"/>
      <c r="C39" s="2" t="inlineStr">
        <is>
          <t>Input</t>
        </is>
      </c>
      <c r="D39" s="2" t="inlineStr">
        <is>
          <t>Stack</t>
        </is>
      </c>
      <c r="E39" s="16" t="n">
        <v>2.28310502283105e-07</v>
      </c>
      <c r="F39" s="6" t="inlineStr">
        <is>
          <t>units</t>
        </is>
      </c>
      <c r="G39" s="2" t="n"/>
      <c r="H39" s="2" t="n"/>
      <c r="I39" s="6" t="n"/>
      <c r="J39" s="84" t="n"/>
      <c r="K39" s="280" t="n"/>
      <c r="L39" s="243" t="n"/>
      <c r="M39" s="243" t="n"/>
      <c r="N39" s="243" t="n"/>
      <c r="O39" s="273" t="n"/>
      <c r="P39" s="46" t="n"/>
      <c r="Q39" s="200" t="n"/>
      <c r="Y39" s="47" t="n"/>
    </row>
    <row r="40" ht="15" customHeight="1" thickBot="1">
      <c r="B40" s="322" t="n"/>
      <c r="C40" s="2" t="inlineStr">
        <is>
          <t>Input</t>
        </is>
      </c>
      <c r="D40" s="2" t="inlineStr">
        <is>
          <t>BoP</t>
        </is>
      </c>
      <c r="E40" s="16" t="n">
        <v>1.141552511415525e-07</v>
      </c>
      <c r="F40" s="6" t="inlineStr">
        <is>
          <t>units</t>
        </is>
      </c>
      <c r="G40" s="2" t="n"/>
      <c r="H40" s="2" t="n"/>
      <c r="I40" s="6" t="n"/>
      <c r="J40" s="84" t="n"/>
      <c r="K40" s="280" t="n"/>
      <c r="L40" s="243" t="n"/>
      <c r="M40" s="243" t="n"/>
      <c r="N40" s="243" t="n"/>
      <c r="O40" s="273" t="n"/>
      <c r="P40" s="46" t="n"/>
      <c r="Q40" s="200" t="n"/>
      <c r="Y40" s="47" t="n"/>
    </row>
    <row r="41" ht="15" customHeight="1" thickBot="1">
      <c r="B41" s="323" t="n"/>
      <c r="D41" s="19" t="inlineStr">
        <is>
          <t>FdV</t>
        </is>
      </c>
      <c r="E41" s="16" t="n">
        <v>3.424657534246575e-07</v>
      </c>
      <c r="F41" s="20" t="inlineStr">
        <is>
          <t>units</t>
        </is>
      </c>
      <c r="G41" s="2" t="n"/>
      <c r="H41" s="2" t="n"/>
      <c r="I41" s="109" t="n"/>
      <c r="J41" s="84" t="n"/>
      <c r="K41" s="280" t="n"/>
      <c r="L41" s="243" t="n"/>
      <c r="M41" s="243" t="n"/>
      <c r="N41" s="243" t="n"/>
      <c r="O41" s="273" t="n"/>
      <c r="P41" s="202" t="inlineStr">
        <is>
          <t>Tier 1</t>
        </is>
      </c>
      <c r="Q41" s="200" t="n"/>
      <c r="Y41" s="47" t="n"/>
    </row>
    <row r="42" ht="15" customHeight="1" thickBot="1">
      <c r="B42" s="24" t="inlineStr">
        <is>
          <t>Stack</t>
        </is>
      </c>
      <c r="C42" s="25" t="inlineStr">
        <is>
          <t>Output</t>
        </is>
      </c>
      <c r="D42" s="26" t="inlineStr">
        <is>
          <t>Stack</t>
        </is>
      </c>
      <c r="E42" s="27" t="n">
        <v>1</v>
      </c>
      <c r="F42" s="28" t="inlineStr">
        <is>
          <t>unit</t>
        </is>
      </c>
      <c r="G42" s="60">
        <f>E39/E42</f>
        <v/>
      </c>
      <c r="H42" s="2" t="n"/>
      <c r="I42" s="6" t="n"/>
      <c r="J42" s="84" t="n"/>
      <c r="K42" s="270" t="n"/>
      <c r="L42" s="252" t="n"/>
      <c r="M42" s="252" t="n"/>
      <c r="N42" s="252" t="n"/>
      <c r="O42" s="271" t="n"/>
      <c r="P42" s="275" t="n"/>
      <c r="Q42" s="269" t="n"/>
      <c r="R42" s="275" t="n"/>
      <c r="S42" s="269" t="n"/>
      <c r="T42" s="275" t="n"/>
      <c r="U42" s="269" t="n"/>
      <c r="V42" s="275" t="n"/>
      <c r="W42" s="269" t="n"/>
      <c r="X42" s="275" t="n"/>
      <c r="Y42" s="269" t="n"/>
    </row>
    <row r="43" ht="15" customHeight="1" thickBot="1">
      <c r="B43" s="29" t="n"/>
      <c r="C43" s="22" t="inlineStr">
        <is>
          <t>Input</t>
        </is>
      </c>
      <c r="D43" s="22" t="inlineStr">
        <is>
          <t>Nickel</t>
        </is>
      </c>
      <c r="E43" s="36" t="n">
        <v>20</v>
      </c>
      <c r="F43" s="40" t="inlineStr">
        <is>
          <t>kg</t>
        </is>
      </c>
      <c r="G43" s="18" t="n"/>
      <c r="H43" s="2" t="n"/>
      <c r="I43" s="6" t="n"/>
      <c r="J43" s="84" t="n"/>
      <c r="K43" s="272" t="n"/>
      <c r="L43" s="243" t="n"/>
      <c r="M43" s="243" t="n"/>
      <c r="N43" s="257" t="n"/>
      <c r="O43" s="281" t="n"/>
      <c r="P43" s="258" t="n"/>
      <c r="Q43" s="256" t="n"/>
      <c r="R43" s="258" t="n"/>
      <c r="S43" s="256" t="n"/>
      <c r="T43" s="258" t="n"/>
      <c r="U43" s="259" t="n"/>
      <c r="V43" s="258" t="n"/>
      <c r="W43" s="259" t="n"/>
      <c r="X43" s="258" t="n"/>
      <c r="Y43" s="259" t="n"/>
    </row>
    <row r="44" ht="15" customHeight="1" thickBot="1">
      <c r="B44" s="29" t="n"/>
      <c r="C44" s="22" t="inlineStr">
        <is>
          <t>Input</t>
        </is>
      </c>
      <c r="D44" s="22" t="inlineStr">
        <is>
          <t>Zircone</t>
        </is>
      </c>
      <c r="E44" s="36" t="n">
        <v>20</v>
      </c>
      <c r="F44" s="40" t="inlineStr">
        <is>
          <t>kg</t>
        </is>
      </c>
      <c r="G44" s="18" t="n"/>
      <c r="H44" s="2" t="n"/>
      <c r="I44" s="6" t="n"/>
      <c r="J44" s="84" t="n"/>
      <c r="K44" s="272" t="n"/>
      <c r="L44" s="243" t="n"/>
      <c r="M44" s="243" t="n"/>
      <c r="N44" s="257" t="n"/>
      <c r="O44" s="281" t="n"/>
      <c r="P44" s="258" t="n"/>
      <c r="Q44" s="256" t="n"/>
      <c r="R44" s="258" t="n"/>
      <c r="S44" s="256" t="n"/>
      <c r="T44" s="258" t="n"/>
      <c r="U44" s="259" t="n"/>
      <c r="V44" s="258" t="n"/>
      <c r="W44" s="259" t="n"/>
      <c r="X44" s="258" t="n"/>
      <c r="Y44" s="259" t="n"/>
    </row>
    <row r="45" ht="15" customHeight="1" thickBot="1">
      <c r="B45" s="29" t="n"/>
      <c r="C45" s="22" t="inlineStr">
        <is>
          <t>Input</t>
        </is>
      </c>
      <c r="D45" s="22" t="inlineStr">
        <is>
          <t>Lanthane</t>
        </is>
      </c>
      <c r="E45" s="36" t="n">
        <v>3</v>
      </c>
      <c r="F45" s="40" t="inlineStr">
        <is>
          <t>kg</t>
        </is>
      </c>
      <c r="G45" s="18" t="n"/>
      <c r="H45" s="2" t="n"/>
      <c r="I45" s="6" t="n"/>
      <c r="J45" s="84" t="n"/>
      <c r="K45" s="272" t="n"/>
      <c r="L45" s="243" t="n"/>
      <c r="M45" s="243" t="n"/>
      <c r="N45" s="257" t="n"/>
      <c r="O45" s="281" t="n"/>
      <c r="P45" s="258" t="n"/>
      <c r="Q45" s="256" t="n"/>
      <c r="R45" s="258" t="n"/>
      <c r="S45" s="256" t="n"/>
      <c r="T45" s="258" t="n"/>
      <c r="U45" s="259" t="n"/>
      <c r="V45" s="258" t="n"/>
      <c r="W45" s="259" t="n"/>
      <c r="X45" s="258" t="n"/>
      <c r="Y45" s="259" t="n"/>
    </row>
    <row r="46" ht="15" customHeight="1" thickBot="1">
      <c r="B46" s="31" t="n"/>
      <c r="C46" s="33" t="inlineStr">
        <is>
          <t>Input</t>
        </is>
      </c>
      <c r="D46" s="33" t="inlineStr">
        <is>
          <t>Acier</t>
        </is>
      </c>
      <c r="E46" s="43" t="n">
        <v>100</v>
      </c>
      <c r="F46" s="44" t="inlineStr">
        <is>
          <t>kg</t>
        </is>
      </c>
      <c r="G46" s="18" t="n"/>
      <c r="H46" s="2" t="n"/>
      <c r="I46" s="6" t="n"/>
      <c r="J46" s="84" t="n"/>
      <c r="K46" s="272" t="n"/>
      <c r="L46" s="243" t="n"/>
      <c r="M46" s="243" t="n"/>
      <c r="N46" s="257" t="n"/>
      <c r="O46" s="281" t="n"/>
      <c r="P46" s="258" t="n"/>
      <c r="Q46" s="256" t="n"/>
      <c r="R46" s="258" t="n"/>
      <c r="S46" s="256" t="n"/>
      <c r="T46" s="258" t="n"/>
      <c r="U46" s="259" t="n"/>
      <c r="V46" s="258" t="n"/>
      <c r="W46" s="259" t="n"/>
      <c r="X46" s="258" t="n"/>
      <c r="Y46" s="259" t="n"/>
    </row>
    <row r="47" ht="16.2" customHeight="1" thickBot="1">
      <c r="B47" s="41" t="inlineStr">
        <is>
          <t>Hydrogen</t>
        </is>
      </c>
      <c r="C47" s="21" t="inlineStr">
        <is>
          <t>Output</t>
        </is>
      </c>
      <c r="D47" s="22" t="inlineStr">
        <is>
          <t>H2</t>
        </is>
      </c>
      <c r="E47" s="23" t="n">
        <v>1</v>
      </c>
      <c r="F47" s="30" t="inlineStr">
        <is>
          <t>kg</t>
        </is>
      </c>
      <c r="G47" s="18">
        <f>E38/E47</f>
        <v/>
      </c>
      <c r="H47" s="2" t="n"/>
      <c r="I47" s="6" t="n"/>
      <c r="J47" s="84" t="n"/>
      <c r="K47" s="282" t="n"/>
      <c r="L47" s="283" t="n"/>
      <c r="M47" s="283" t="n"/>
      <c r="N47" s="284" t="n"/>
      <c r="O47" s="285" t="n"/>
      <c r="P47" s="253" t="n"/>
      <c r="Q47" s="256" t="n"/>
      <c r="R47" s="253" t="n"/>
      <c r="S47" s="256" t="n"/>
      <c r="T47" s="253" t="n"/>
      <c r="U47" s="256" t="n"/>
      <c r="V47" s="253" t="n"/>
      <c r="W47" s="256" t="n"/>
      <c r="X47" s="253" t="n"/>
      <c r="Y47" s="256" t="n"/>
    </row>
    <row r="48" ht="15" customHeight="1" thickBot="1">
      <c r="B48" s="41" t="inlineStr">
        <is>
          <t>Bop</t>
        </is>
      </c>
      <c r="C48" s="21" t="inlineStr">
        <is>
          <t>Output</t>
        </is>
      </c>
      <c r="D48" s="22" t="inlineStr">
        <is>
          <t>BoP</t>
        </is>
      </c>
      <c r="E48" s="23" t="n">
        <v>1</v>
      </c>
      <c r="F48" s="30" t="inlineStr">
        <is>
          <t>unit</t>
        </is>
      </c>
      <c r="G48" s="60">
        <f>E40/E48</f>
        <v/>
      </c>
      <c r="H48" s="2" t="n"/>
      <c r="I48" s="6" t="n"/>
      <c r="J48" s="84" t="n"/>
      <c r="K48" s="258" t="n"/>
      <c r="L48" s="242" t="n"/>
      <c r="M48" s="242" t="n"/>
      <c r="N48" s="255" t="n"/>
      <c r="O48" s="259" t="n"/>
      <c r="P48" s="253" t="n"/>
      <c r="Q48" s="256" t="n"/>
      <c r="R48" s="253" t="n"/>
      <c r="S48" s="256" t="n"/>
      <c r="T48" s="253" t="n"/>
      <c r="U48" s="256" t="n"/>
      <c r="V48" s="253" t="n"/>
      <c r="W48" s="256" t="n"/>
      <c r="X48" s="253" t="n"/>
      <c r="Y48" s="256" t="n"/>
    </row>
    <row r="49" ht="15" customHeight="1" thickBot="1">
      <c r="B49" s="42" t="inlineStr">
        <is>
          <t>EoL</t>
        </is>
      </c>
      <c r="C49" s="32" t="inlineStr">
        <is>
          <t>Output</t>
        </is>
      </c>
      <c r="D49" s="33" t="inlineStr">
        <is>
          <t>EoL</t>
        </is>
      </c>
      <c r="E49" s="34" t="n">
        <v>1</v>
      </c>
      <c r="F49" s="35" t="inlineStr">
        <is>
          <t>unit</t>
        </is>
      </c>
      <c r="G49" s="60">
        <f>E41/E49</f>
        <v/>
      </c>
      <c r="H49" s="2" t="n"/>
      <c r="I49" s="6" t="n"/>
      <c r="J49" s="84" t="n"/>
      <c r="K49" s="253" t="n"/>
      <c r="L49" s="255" t="n"/>
      <c r="M49" s="255" t="n"/>
      <c r="N49" s="255" t="n"/>
      <c r="O49" s="286" t="n"/>
      <c r="P49" s="276" t="n"/>
      <c r="Q49" s="261" t="n"/>
      <c r="R49" s="276" t="n"/>
      <c r="S49" s="261" t="n"/>
      <c r="T49" s="276" t="n"/>
      <c r="U49" s="261" t="n"/>
      <c r="V49" s="276" t="n"/>
      <c r="W49" s="261" t="n"/>
      <c r="X49" s="276" t="n"/>
      <c r="Y49" s="261" t="n"/>
    </row>
    <row r="50" ht="15" customHeight="1" thickBot="1">
      <c r="B50" s="41" t="n"/>
      <c r="C50" s="21" t="n"/>
      <c r="D50" s="22" t="n"/>
      <c r="E50" s="23" t="n"/>
      <c r="F50" s="30" t="n"/>
      <c r="G50" s="60" t="n"/>
      <c r="H50" s="2" t="n"/>
      <c r="I50" s="6" t="n"/>
      <c r="J50" s="84" t="n"/>
      <c r="K50" s="253" t="n"/>
      <c r="L50" s="255" t="n"/>
      <c r="M50" s="255" t="n"/>
      <c r="N50" s="255" t="n"/>
      <c r="O50" s="286" t="n"/>
      <c r="P50" s="202" t="inlineStr">
        <is>
          <t>Tier 2</t>
        </is>
      </c>
      <c r="Q50" s="188" t="inlineStr">
        <is>
          <t>CC</t>
        </is>
      </c>
      <c r="S50" s="189" t="inlineStr">
        <is>
          <t>EQ_r</t>
        </is>
      </c>
      <c r="U50" s="189" t="inlineStr">
        <is>
          <t>FNEU</t>
        </is>
      </c>
      <c r="W50" s="189" t="inlineStr">
        <is>
          <t>HH_r</t>
        </is>
      </c>
      <c r="Y50" s="190" t="inlineStr">
        <is>
          <t>WS</t>
        </is>
      </c>
    </row>
    <row r="51" ht="15" customHeight="1" thickBot="1">
      <c r="B51" s="77" t="inlineStr">
        <is>
          <t>Nickel</t>
        </is>
      </c>
      <c r="C51" s="45" t="inlineStr">
        <is>
          <t>Ouptut</t>
        </is>
      </c>
      <c r="D51" s="26" t="inlineStr">
        <is>
          <t>Nickel</t>
        </is>
      </c>
      <c r="E51" s="78" t="n">
        <v>1</v>
      </c>
      <c r="F51" s="79" t="inlineStr">
        <is>
          <t>kg</t>
        </is>
      </c>
      <c r="G51" s="74" t="n"/>
      <c r="H51" s="15">
        <f>E43/E51</f>
        <v/>
      </c>
      <c r="I51" s="67">
        <f>G42*H51</f>
        <v/>
      </c>
      <c r="J51" s="85">
        <f>E51*I51</f>
        <v/>
      </c>
      <c r="K51" s="258" t="n"/>
      <c r="L51" s="242" t="n"/>
      <c r="M51" s="242" t="n"/>
      <c r="N51" s="242" t="n"/>
      <c r="O51" s="259" t="n"/>
      <c r="P51" s="275" t="n"/>
      <c r="Q51" s="277" t="n"/>
      <c r="R51" s="275" t="n"/>
      <c r="S51" s="277" t="n"/>
      <c r="T51" s="275" t="n"/>
      <c r="U51" s="277" t="n"/>
      <c r="V51" s="275" t="n"/>
      <c r="W51" s="269" t="n"/>
      <c r="X51" s="267" t="n"/>
      <c r="Y51" s="269" t="n"/>
    </row>
    <row r="52" ht="15" customHeight="1" thickBot="1">
      <c r="B52" s="80" t="inlineStr">
        <is>
          <t>Zircone</t>
        </is>
      </c>
      <c r="C52" s="2" t="inlineStr">
        <is>
          <t>Output</t>
        </is>
      </c>
      <c r="D52" s="22" t="inlineStr">
        <is>
          <t>Zircone</t>
        </is>
      </c>
      <c r="E52" s="38" t="n">
        <v>1</v>
      </c>
      <c r="F52" s="81" t="inlineStr">
        <is>
          <t>kg</t>
        </is>
      </c>
      <c r="G52" s="74" t="n"/>
      <c r="H52" s="15">
        <f>E44/E52</f>
        <v/>
      </c>
      <c r="I52" s="67">
        <f>G42*H52</f>
        <v/>
      </c>
      <c r="J52" s="85">
        <f>E52*I52</f>
        <v/>
      </c>
      <c r="K52" s="258" t="n"/>
      <c r="L52" s="242" t="n"/>
      <c r="M52" s="242" t="n"/>
      <c r="N52" s="242" t="n"/>
      <c r="O52" s="259" t="n"/>
      <c r="P52" s="253" t="n"/>
      <c r="Q52" s="278" t="n"/>
      <c r="R52" s="253" t="n"/>
      <c r="S52" s="278" t="n"/>
      <c r="T52" s="253" t="n"/>
      <c r="U52" s="278" t="n"/>
      <c r="V52" s="253" t="n"/>
      <c r="W52" s="256" t="n"/>
      <c r="X52" s="255" t="n"/>
      <c r="Y52" s="256" t="n"/>
    </row>
    <row r="53" ht="15" customHeight="1" thickBot="1">
      <c r="B53" s="82" t="inlineStr">
        <is>
          <t>Lanthane</t>
        </is>
      </c>
      <c r="C53" s="37" t="inlineStr">
        <is>
          <t>Ouptut</t>
        </is>
      </c>
      <c r="D53" s="22" t="inlineStr">
        <is>
          <t>Lanthane</t>
        </is>
      </c>
      <c r="E53" s="73" t="n">
        <v>1</v>
      </c>
      <c r="F53" s="81" t="inlineStr">
        <is>
          <t>kg</t>
        </is>
      </c>
      <c r="G53" s="75" t="n"/>
      <c r="H53" s="15">
        <f>E45/E53</f>
        <v/>
      </c>
      <c r="I53" s="67">
        <f>G42*H53</f>
        <v/>
      </c>
      <c r="J53" s="85">
        <f>E53*I53</f>
        <v/>
      </c>
      <c r="K53" s="258" t="n"/>
      <c r="L53" s="242" t="n"/>
      <c r="M53" s="242" t="n"/>
      <c r="N53" s="242" t="n"/>
      <c r="O53" s="259" t="n"/>
      <c r="P53" s="253" t="n"/>
      <c r="Q53" s="278" t="n"/>
      <c r="R53" s="253" t="n"/>
      <c r="S53" s="278" t="n"/>
      <c r="T53" s="253" t="n"/>
      <c r="U53" s="278" t="n"/>
      <c r="V53" s="253" t="n"/>
      <c r="W53" s="256" t="n"/>
      <c r="X53" s="255" t="n"/>
      <c r="Y53" s="256" t="n"/>
    </row>
    <row r="54" ht="15" customHeight="1" thickBot="1">
      <c r="B54" s="83" t="inlineStr">
        <is>
          <t>Acier</t>
        </is>
      </c>
      <c r="C54" s="65" t="inlineStr">
        <is>
          <t>Output</t>
        </is>
      </c>
      <c r="D54" s="33" t="inlineStr">
        <is>
          <t>Acier</t>
        </is>
      </c>
      <c r="E54" s="43" t="n">
        <v>1</v>
      </c>
      <c r="F54" s="44" t="inlineStr">
        <is>
          <t>kg</t>
        </is>
      </c>
      <c r="G54" s="76" t="n"/>
      <c r="H54" s="66">
        <f>E46/E54</f>
        <v/>
      </c>
      <c r="I54" s="68">
        <f>G42*H54</f>
        <v/>
      </c>
      <c r="J54" s="86">
        <f>E53*I54</f>
        <v/>
      </c>
      <c r="K54" s="287" t="n"/>
      <c r="L54" s="248" t="n"/>
      <c r="M54" s="248" t="n"/>
      <c r="N54" s="248" t="n"/>
      <c r="O54" s="288" t="n"/>
      <c r="P54" s="276" t="n"/>
      <c r="Q54" s="279" t="n"/>
      <c r="R54" s="276" t="n"/>
      <c r="S54" s="279" t="n"/>
      <c r="T54" s="276" t="n"/>
      <c r="U54" s="279" t="n"/>
      <c r="V54" s="276" t="n"/>
      <c r="W54" s="261" t="n"/>
      <c r="X54" s="249" t="n"/>
      <c r="Y54" s="261" t="n"/>
    </row>
    <row r="55" ht="15" customHeight="1" thickBot="1">
      <c r="B55" s="61" t="inlineStr">
        <is>
          <t>TOTAL</t>
        </is>
      </c>
      <c r="C55" s="62" t="n"/>
      <c r="D55" s="62" t="n"/>
      <c r="E55" s="62" t="n"/>
      <c r="F55" s="62" t="n"/>
      <c r="G55" s="62" t="n"/>
      <c r="H55" s="62" t="n"/>
      <c r="I55" s="62" t="n"/>
      <c r="J55" s="63" t="n"/>
      <c r="K55" s="64" t="n"/>
      <c r="L55" s="64" t="n"/>
      <c r="M55" s="64" t="n"/>
      <c r="N55" s="64" t="n"/>
      <c r="O55" s="64" t="n"/>
      <c r="P55" s="195">
        <f>SUM(P51:P54)</f>
        <v/>
      </c>
      <c r="Q55" s="196" t="n"/>
      <c r="R55" s="197">
        <f>SUM(R51:R54)</f>
        <v/>
      </c>
      <c r="S55" s="196" t="n"/>
      <c r="T55" s="197">
        <f>SUM(T51:T54)</f>
        <v/>
      </c>
      <c r="U55" s="196" t="n"/>
      <c r="V55" s="197">
        <f>SUM(V51:V54)</f>
        <v/>
      </c>
      <c r="W55" s="198" t="n"/>
      <c r="X55" s="197">
        <f>SUM(X51:X54)</f>
        <v/>
      </c>
      <c r="Y55" s="199" t="n"/>
    </row>
    <row r="56"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W56" t="inlineStr">
        <is>
          <t>Production electricité</t>
        </is>
      </c>
      <c r="X56" t="n">
        <v>50</v>
      </c>
      <c r="Y56" t="inlineStr">
        <is>
          <t>kW/h</t>
        </is>
      </c>
    </row>
  </sheetData>
  <mergeCells count="5">
    <mergeCell ref="B36:B41"/>
    <mergeCell ref="K33:O33"/>
    <mergeCell ref="J33:J35"/>
    <mergeCell ref="P35:Y35"/>
    <mergeCell ref="P33:Y3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Roth Jocelyn</dc:creator>
  <dcterms:created xsi:type="dcterms:W3CDTF">2026-03-19T17:15:14Z</dcterms:created>
  <dcterms:modified xsi:type="dcterms:W3CDTF">2026-06-04T21:03:53Z</dcterms:modified>
  <cp:lastModifiedBy>Roth Jocelyn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0x0101001C91EC3650709A4A82A2B9370316570F</vt:lpwstr>
  </property>
  <property name="MediaServiceImageTags" fmtid="{D5CDD505-2E9C-101B-9397-08002B2CF9AE}" pid="3">
    <vt:lpwstr/>
  </property>
</Properties>
</file>